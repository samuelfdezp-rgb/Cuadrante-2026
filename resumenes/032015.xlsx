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32A2DE29-5D39-4043-864A-F9FA71D00555}" xr6:coauthVersionLast="47" xr6:coauthVersionMax="47" xr10:uidLastSave="{00000000-0000-0000-0000-000000000000}"/>
  <bookViews>
    <workbookView xWindow="-108" yWindow="-108" windowWidth="23256" windowHeight="12456" tabRatio="714" xr2:uid="{A6BE57BE-AE6F-4137-B9DB-98770C09AFCD}"/>
  </bookViews>
  <sheets>
    <sheet name="032015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N8" i="11"/>
  <c r="N21" i="11" l="1"/>
  <c r="N9" i="11" l="1"/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0" i="11" l="1"/>
  <c r="N19" i="11"/>
  <c r="N10" i="11"/>
  <c r="N6" i="11" l="1"/>
  <c r="N5" i="11" l="1"/>
  <c r="N17" i="11" l="1"/>
  <c r="N16" i="11"/>
  <c r="N15" i="11"/>
  <c r="N14" i="11"/>
  <c r="N13" i="11"/>
  <c r="N12" i="11"/>
  <c r="N11" i="11"/>
  <c r="N18" i="1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<sst xmlns="http://schemas.openxmlformats.org/spreadsheetml/2006/main" count="39" uniqueCount="39">
  <si>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</si>
  <si>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</si>
  <si>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</si>
  <si>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</si>
  <si>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</si>
  <si>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</si>
  <si>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</si>
  <si>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</si>
  <si>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</si>
  <si>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</si>
  <si>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</si>
  <si>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</si>
  <si>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</si>
  <si>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</si>
  <si>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</si>
  <si>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</si>
  <si>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</si>
  <si>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</si>
  <si>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</si>
  <si>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</si>
  <si>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</si>
  <si>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</si>
  <si>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</si>
  <si>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</si>
  <si>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</si>
  <si>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</si>
  <si>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</si>
  <si>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</si>
  <si>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</si>
  <si>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</si>
  <si>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</si>
  <si>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Pedro Rodríguez Pedreira - 032015</t>
  </si>
  <si>
    <t>1ex (N)</t>
  </si>
  <si>
    <t>2ex (N)</t>
  </si>
  <si>
    <t>3ex (N)</t>
  </si>
  <si>
    <t>1ex (F)</t>
  </si>
  <si>
    <t>2ex (F)</t>
  </si>
  <si>
    <t>3ex (F)</t>
  </si>
  <si>
    <t>RESUMEN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</si>
</sst>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sz val="20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8" fillId="0" borderId="0" xfId="0" applyFont="1"/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2" fontId="14" fillId="2" borderId="15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7" xfId="0" applyFont="1" applyBorder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0000"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70" t="e" vm="2">
        <v>#VALUE!</v>
      </c>
      <c r="C1" s="70"/>
      <c r="D1" s="70"/>
      <c r="E1" s="70"/>
      <c r="F1" s="70"/>
      <c r="G1" s="70"/>
      <c r="H1" s="70"/>
      <c r="I1" s="70"/>
      <c r="J1" s="70"/>
      <c r="K1" s="70"/>
      <c r="L1" s="70" t="e" vm="3">
        <v>#VALUE!</v>
      </c>
      <c r="M1" s="70"/>
      <c r="N1" s="70"/>
      <c r="O1" s="7"/>
      <c r="P1" s="7"/>
    </row>
    <row r="2" spans="1:16" ht="49.95" customHeight="1" thickBot="1" x14ac:dyDescent="0.85">
      <c r="A2" s="62" t="s">
        <v>38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4"/>
      <c r="O2" s="3"/>
    </row>
    <row r="3" spans="1:16" ht="30" customHeight="1" thickBot="1" x14ac:dyDescent="0.55000000000000004">
      <c r="A3" s="65"/>
      <c r="B3" s="67" t="s">
        <v>31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3"/>
    </row>
    <row r="4" spans="1:16" ht="25.2" customHeight="1" thickBot="1" x14ac:dyDescent="0.35">
      <c r="A4" s="66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0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15">
        <f>SUM(B5:M5)</f>
        <v>0</v>
      </c>
      <c r="O5" s="11"/>
    </row>
    <row r="6" spans="1:16" s="12" customFormat="1" ht="25.2" customHeight="1" x14ac:dyDescent="0.5">
      <c r="A6" s="45" t="s">
        <v>16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15" t="s">
        <v>17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20"/>
      <c r="N7" s="15" t="str">
        <f>CONCATENATE(SUM(B7:M7),"/53")</f>
        <v>0/53</v>
      </c>
      <c r="O7" s="11"/>
    </row>
    <row r="8" spans="1:16" s="12" customFormat="1" ht="25.2" customHeight="1" x14ac:dyDescent="0.5">
      <c r="A8" s="45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9" t="str">
        <f>_xlfn.CONCAT(SUM(B8:M8),"/26")</f>
        <v>0/26</v>
      </c>
      <c r="O8" s="6"/>
    </row>
    <row r="9" spans="1:16" s="12" customFormat="1" ht="25.2" customHeight="1" x14ac:dyDescent="0.5">
      <c r="A9" s="15" t="s">
        <v>18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20"/>
      <c r="N9" s="15" t="str">
        <f>_xlfn.CONCAT(SUM(F9:M9),"/14")</f>
        <v>0/14</v>
      </c>
      <c r="O9" s="6"/>
    </row>
    <row r="10" spans="1:16" s="12" customFormat="1" ht="25.2" customHeight="1" x14ac:dyDescent="0.5">
      <c r="A10" s="45" t="s">
        <v>19</v>
      </c>
      <c r="B10" s="59"/>
      <c r="C10" s="40"/>
      <c r="D10" s="40"/>
      <c r="E10" s="17"/>
      <c r="F10" s="17"/>
      <c r="G10" s="17"/>
      <c r="H10" s="17"/>
      <c r="I10" s="17"/>
      <c r="J10" s="17"/>
      <c r="K10" s="17"/>
      <c r="L10" s="17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56" t="s">
        <v>20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45" t="s">
        <v>21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f t="shared" si="1"/>
        <v>0</v>
      </c>
      <c r="O12" s="11"/>
    </row>
    <row r="13" spans="1:16" s="12" customFormat="1" ht="25.2" customHeight="1" x14ac:dyDescent="0.5">
      <c r="A13" s="15" t="s">
        <v>22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0"/>
      <c r="N13" s="15">
        <f t="shared" si="1"/>
        <v>0</v>
      </c>
      <c r="O13" s="11"/>
    </row>
    <row r="14" spans="1:16" s="12" customFormat="1" ht="25.2" customHeight="1" x14ac:dyDescent="0.5">
      <c r="A14" s="45" t="s">
        <v>13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f t="shared" si="1"/>
        <v>0</v>
      </c>
      <c r="O14" s="11"/>
    </row>
    <row r="15" spans="1:16" s="12" customFormat="1" ht="25.2" customHeight="1" x14ac:dyDescent="0.5">
      <c r="A15" s="15" t="s">
        <v>23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20"/>
      <c r="N15" s="15">
        <f t="shared" si="1"/>
        <v>0</v>
      </c>
      <c r="O15" s="11"/>
    </row>
    <row r="16" spans="1:16" s="12" customFormat="1" ht="25.2" customHeight="1" x14ac:dyDescent="0.5">
      <c r="A16" s="57" t="s">
        <v>24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>
        <f t="shared" si="1"/>
        <v>0</v>
      </c>
      <c r="O16" s="11"/>
    </row>
    <row r="17" spans="1:16" s="12" customFormat="1" ht="25.2" customHeight="1" x14ac:dyDescent="0.5">
      <c r="A17" s="15" t="s">
        <v>25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45" t="s">
        <v>26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>
        <f>SUM(B18:M18)</f>
        <v>0</v>
      </c>
      <c r="O18" s="11"/>
    </row>
    <row r="19" spans="1:16" s="12" customFormat="1" ht="25.2" customHeight="1" x14ac:dyDescent="0.5">
      <c r="A19" s="15" t="s">
        <v>27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58" t="s">
        <v>28</v>
      </c>
      <c r="B20" s="25"/>
      <c r="C20" s="25"/>
      <c r="D20" s="17"/>
      <c r="E20" s="25"/>
      <c r="F20" s="25"/>
      <c r="G20" s="25"/>
      <c r="H20" s="25"/>
      <c r="I20" s="25"/>
      <c r="J20" s="25"/>
      <c r="K20" s="25"/>
      <c r="L20" s="25"/>
      <c r="M20" s="26"/>
      <c r="N20" s="19" t="str">
        <f>_xlfn.CONCAT(SUM(B20:M20),"/23")</f>
        <v>0/23</v>
      </c>
      <c r="O20" s="28"/>
    </row>
    <row r="21" spans="1:16" s="12" customFormat="1" ht="25.2" customHeight="1" thickBot="1" x14ac:dyDescent="0.55000000000000004">
      <c r="A21" s="55" t="s">
        <v>29</v>
      </c>
      <c r="B21" s="6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42">
        <f>B21+C21+D21+E21+F21+G21+H21+I21+J21+K21+L21+M21+P21</f>
        <v>0</v>
      </c>
      <c r="O21" s="32" t="s">
        <v>30</v>
      </c>
      <c r="P21" s="33"/>
    </row>
    <row r="22" spans="1:16" s="21" customFormat="1" ht="25.2" customHeight="1" x14ac:dyDescent="0.5">
      <c r="A22" s="16" t="s">
        <v>32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33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34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35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36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37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2" priority="23" operator="containsText" text="ex">
      <formula>NOT(ISERROR(SEARCH(("ex"),(N28))))</formula>
    </cfRule>
  </conditionalFormatting>
  <conditionalFormatting sqref="N21">
    <cfRule type="cellIs" dxfId="1" priority="75" operator="greaterThanOrEqual">
      <formula>#REF!</formula>
    </cfRule>
    <cfRule type="cellIs" dxfId="0" priority="76" operator="lessThan">
      <formula>#REF!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2026-01-30T19:33:24Z</dcterms:modified>
  <cp:category/>
  <cp:contentStatus/>
</cp:coreProperties>
</file>