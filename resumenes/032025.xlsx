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79230BFA-A462-4ECE-8FCE-459A0027778C}" xr6:coauthVersionLast="47" xr6:coauthVersionMax="47" xr10:uidLastSave="{00000000-0000-0000-0000-000000000000}"/>
  <bookViews>
    <workbookView xWindow="-108" yWindow="-108" windowWidth="23256" windowHeight="12456" tabRatio="714" xr2:uid="{A6BE57BE-AE6F-4137-B9DB-98770C09AFCD}"/>
  </bookViews>
  <sheets>
    <sheet name="032025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O25" i="11"/>
  <c r="N25" i="1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<sst xmlns="http://schemas.openxmlformats.org/spreadsheetml/2006/main" count="39" uniqueCount="39">
  <si>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</si>
  <si>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</si>
  <si>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</si>
  <si>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</si>
  <si>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</si>
  <si>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</si>
  <si>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</si>
  <si>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</si>
  <si>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</si>
  <si>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</si>
  <si>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</si>
  <si>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</si>
  <si>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</si>
  <si>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</si>
  <si>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</si>
  <si>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</si>
  <si>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</si>
  <si>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</si>
  <si>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</si>
  <si>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</si>
  <si>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</si>
  <si>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</si>
  <si>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</si>
  <si>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</si>
  <si>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</si>
  <si>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</si>
  <si>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</si>
  <si>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</si>
  <si>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</si>
  <si>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</si>
  <si>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</si>
  <si>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</si>
  <si>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</si>
  <si>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</si>
  <si>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</si>
  <si>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</si>
  <si>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</si>
  <si>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</si>
  <si>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Samuel Fernández Pérez - 032025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</si>
</sst>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3" xfId="0" applyNumberFormat="1" applyFont="1" applyFill="1" applyBorder="1" applyAlignment="1">
      <alignment horizontal="center" vertical="center"/>
    </xf>
    <xf numFmtId="0" fontId="11" fillId="0" borderId="9" xfId="0" applyFont="1" applyBorder="1" applyAlignment="1"/>
    <xf numFmtId="0" fontId="11" fillId="0" borderId="7" xfId="0" applyFont="1" applyBorder="1" applyAlignment="1"/>
    <xf numFmtId="0" fontId="16" fillId="0" borderId="9" xfId="0" applyFont="1" applyBorder="1" applyAlignment="1"/>
    <xf numFmtId="0" fontId="16" fillId="0" borderId="7" xfId="0" applyFont="1" applyBorder="1" applyAlignment="1"/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1">
    <dxf>
      <font>
        <b/>
        <color rgb="FFFF0000"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853440</xdr:colOff>
      <xdr:row>0</xdr:row>
      <xdr:rowOff>45720</xdr:rowOff>
    </xdr:from>
    <xdr:to>
      <xdr:col>0</xdr:col>
      <xdr:colOff>1630747</xdr:colOff>
      <xdr:row>0</xdr:row>
      <xdr:rowOff>1234543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A01DA4-A109-4C66-8E45-AE09DBBAD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" y="45720"/>
          <a:ext cx="777307" cy="1188823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76211</xdr:rowOff>
    </xdr:from>
    <xdr:to>
      <xdr:col>10</xdr:col>
      <xdr:colOff>1050600</xdr:colOff>
      <xdr:row>0</xdr:row>
      <xdr:rowOff>1184538</xdr:rowOff>
    </xdr:to>
    <xdr:pic>
      <xdr:nvPicPr>
        <xdr:cNvPr id="3" name="Imagen 2" descr="2.jpg">
          <a:extLst>
            <a:ext uri="{FF2B5EF4-FFF2-40B4-BE49-F238E27FC236}">
              <a16:creationId xmlns:a16="http://schemas.microsoft.com/office/drawing/2014/main" id="{BB0A76D1-42C7-26ED-065B-58F3FC7FA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76211"/>
          <a:ext cx="10728000" cy="1108327"/>
        </a:xfrm>
        <a:prstGeom prst="rect">
          <a:avLst/>
        </a:prstGeom>
      </xdr:spPr>
    </xdr:pic>
    <xdr:clientData/>
  </xdr:twoCellAnchor>
  <xdr:twoCellAnchor editAs="oneCell">
    <xdr:from>
      <xdr:col>11</xdr:col>
      <xdr:colOff>563880</xdr:colOff>
      <xdr:row>0</xdr:row>
      <xdr:rowOff>45720</xdr:rowOff>
    </xdr:from>
    <xdr:to>
      <xdr:col>13</xdr:col>
      <xdr:colOff>533585</xdr:colOff>
      <xdr:row>0</xdr:row>
      <xdr:rowOff>1234543</xdr:rowOff>
    </xdr:to>
    <xdr:pic>
      <xdr:nvPicPr>
        <xdr:cNvPr id="4" name="Imagen 3" descr="Concello de Betanzos.jpg">
          <a:extLst>
            <a:ext uri="{FF2B5EF4-FFF2-40B4-BE49-F238E27FC236}">
              <a16:creationId xmlns:a16="http://schemas.microsoft.com/office/drawing/2014/main" id="{7FDFF7C2-75F6-B14B-6BB8-97291745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37920" y="45720"/>
          <a:ext cx="2133785" cy="11888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0">
          <cell r="D10">
            <v>88.5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57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6"/>
      <c r="P1" s="6"/>
    </row>
    <row r="2" spans="1:16" ht="49.95" customHeight="1" thickBot="1" x14ac:dyDescent="0.85">
      <c r="B2" s="68"/>
      <c r="C2" s="68"/>
      <c r="D2" s="68"/>
      <c r="E2" s="68"/>
      <c r="F2" s="68"/>
      <c r="G2" s="55" t="s">
        <v>37</v>
      </c>
      <c r="H2" s="68"/>
      <c r="I2" s="68"/>
      <c r="J2" s="68"/>
      <c r="K2" s="68"/>
      <c r="L2" s="68"/>
      <c r="M2" s="68"/>
      <c r="N2" s="69"/>
      <c r="O2" s="2"/>
    </row>
    <row r="3" spans="1:16" ht="30" customHeight="1" thickBot="1" x14ac:dyDescent="0.55000000000000004">
      <c r="A3" s="72"/>
      <c r="C3" s="70"/>
      <c r="D3" s="70"/>
      <c r="E3" s="70"/>
      <c r="F3" s="70"/>
      <c r="H3" s="56" t="s">
        <v>38</v>
      </c>
      <c r="I3" s="70"/>
      <c r="J3" s="70"/>
      <c r="K3" s="70"/>
      <c r="L3" s="70"/>
      <c r="M3" s="70"/>
      <c r="N3" s="71"/>
      <c r="O3" s="2"/>
    </row>
    <row r="4" spans="1:16" ht="25.2" customHeight="1" thickBot="1" x14ac:dyDescent="0.35">
      <c r="A4" s="73"/>
      <c r="B4" s="33" t="s">
        <v>0</v>
      </c>
      <c r="C4" s="34" t="s">
        <v>1</v>
      </c>
      <c r="D4" s="34" t="s">
        <v>2</v>
      </c>
      <c r="E4" s="34" t="s">
        <v>3</v>
      </c>
      <c r="F4" s="34" t="s">
        <v>4</v>
      </c>
      <c r="G4" s="35" t="s">
        <v>5</v>
      </c>
      <c r="H4" s="36" t="s">
        <v>7</v>
      </c>
      <c r="I4" s="34" t="s">
        <v>8</v>
      </c>
      <c r="J4" s="7" t="s">
        <v>9</v>
      </c>
      <c r="K4" s="34" t="s">
        <v>10</v>
      </c>
      <c r="L4" s="37" t="s">
        <v>11</v>
      </c>
      <c r="M4" s="38" t="s">
        <v>12</v>
      </c>
      <c r="N4" s="4" t="s">
        <v>14</v>
      </c>
      <c r="O4" s="2"/>
    </row>
    <row r="5" spans="1:16" s="11" customFormat="1" ht="25.2" customHeight="1" x14ac:dyDescent="0.5">
      <c r="A5" s="58" t="s">
        <v>15</v>
      </c>
      <c r="B5" s="59"/>
      <c r="C5" s="12"/>
      <c r="D5" s="12"/>
      <c r="E5" s="12"/>
      <c r="F5" s="12"/>
      <c r="G5" s="12"/>
      <c r="H5" s="12"/>
      <c r="I5" s="12"/>
      <c r="J5" s="12"/>
      <c r="K5" s="12"/>
      <c r="L5" s="13"/>
      <c r="M5" s="13"/>
      <c r="N5" s="14">
        <f>SUM(B5:M5)</f>
        <v>0</v>
      </c>
      <c r="O5" s="10"/>
    </row>
    <row r="6" spans="1:16" s="11" customFormat="1" ht="25.2" customHeight="1" x14ac:dyDescent="0.5">
      <c r="A6" s="15" t="s">
        <v>16</v>
      </c>
      <c r="B6" s="60"/>
      <c r="C6" s="16"/>
      <c r="D6" s="16"/>
      <c r="E6" s="16"/>
      <c r="F6" s="16"/>
      <c r="G6" s="16"/>
      <c r="H6" s="16"/>
      <c r="I6" s="16"/>
      <c r="J6" s="16"/>
      <c r="K6" s="16"/>
      <c r="L6" s="17"/>
      <c r="M6" s="17"/>
      <c r="N6" s="18">
        <f t="shared" ref="N6" si="0">SUM(B6:M6)</f>
        <v>0</v>
      </c>
      <c r="O6" s="10"/>
    </row>
    <row r="7" spans="1:16" s="11" customFormat="1" ht="25.2" customHeight="1" x14ac:dyDescent="0.5">
      <c r="A7" s="58" t="s">
        <v>17</v>
      </c>
      <c r="B7" s="61"/>
      <c r="C7" s="13"/>
      <c r="D7" s="13"/>
      <c r="E7" s="13"/>
      <c r="F7" s="13"/>
      <c r="G7" s="13"/>
      <c r="H7" s="13"/>
      <c r="I7" s="13"/>
      <c r="J7" s="13"/>
      <c r="K7" s="13"/>
      <c r="L7" s="19"/>
      <c r="M7" s="19"/>
      <c r="N7" s="14" t="str">
        <f>CONCATENATE(SUM(B7:M7),"/54")</f>
        <v>0/54</v>
      </c>
      <c r="O7" s="10"/>
    </row>
    <row r="8" spans="1:16" s="11" customFormat="1" ht="25.2" customHeight="1" x14ac:dyDescent="0.5">
      <c r="A8" s="15" t="s">
        <v>6</v>
      </c>
      <c r="B8" s="60"/>
      <c r="C8" s="16"/>
      <c r="D8" s="16"/>
      <c r="E8" s="16"/>
      <c r="F8" s="16"/>
      <c r="G8" s="16"/>
      <c r="H8" s="16"/>
      <c r="I8" s="16"/>
      <c r="J8" s="16"/>
      <c r="K8" s="16"/>
      <c r="L8" s="17"/>
      <c r="M8" s="17"/>
      <c r="N8" s="18" t="str">
        <f>_xlfn.CONCAT(SUM(B8:M8),"/22")</f>
        <v>0/22</v>
      </c>
      <c r="O8" s="5"/>
    </row>
    <row r="9" spans="1:16" s="11" customFormat="1" ht="25.2" customHeight="1" x14ac:dyDescent="0.5">
      <c r="A9" s="58" t="s">
        <v>18</v>
      </c>
      <c r="B9" s="61"/>
      <c r="C9" s="13"/>
      <c r="D9" s="13"/>
      <c r="E9" s="13"/>
      <c r="F9" s="13"/>
      <c r="G9" s="13"/>
      <c r="H9" s="13"/>
      <c r="I9" s="13"/>
      <c r="J9" s="13"/>
      <c r="K9" s="13"/>
      <c r="L9" s="19"/>
      <c r="M9" s="19"/>
      <c r="N9" s="14" t="str">
        <f>_xlfn.CONCAT(SUM(F9:M9),"/8")</f>
        <v>0/8</v>
      </c>
      <c r="O9" s="5"/>
    </row>
    <row r="10" spans="1:16" s="11" customFormat="1" ht="25.2" customHeight="1" x14ac:dyDescent="0.5">
      <c r="A10" s="15" t="s">
        <v>19</v>
      </c>
      <c r="B10" s="60"/>
      <c r="C10" s="39"/>
      <c r="D10" s="39"/>
      <c r="E10" s="39"/>
      <c r="F10" s="39"/>
      <c r="G10" s="16"/>
      <c r="H10" s="16"/>
      <c r="I10" s="16"/>
      <c r="J10" s="16"/>
      <c r="K10" s="16"/>
      <c r="L10" s="17"/>
      <c r="M10" s="17"/>
      <c r="N10" s="18" t="str">
        <f>_xlfn.CONCAT(SUM(B10:M10),"/6")</f>
        <v>0/6</v>
      </c>
      <c r="O10" s="10"/>
      <c r="P10" s="20"/>
    </row>
    <row r="11" spans="1:16" s="11" customFormat="1" ht="25.2" customHeight="1" x14ac:dyDescent="0.5">
      <c r="A11" s="62" t="s">
        <v>20</v>
      </c>
      <c r="B11" s="63"/>
      <c r="C11" s="21"/>
      <c r="D11" s="21"/>
      <c r="E11" s="21"/>
      <c r="F11" s="21"/>
      <c r="G11" s="21"/>
      <c r="H11" s="21"/>
      <c r="I11" s="21"/>
      <c r="J11" s="21"/>
      <c r="K11" s="21"/>
      <c r="L11" s="22"/>
      <c r="M11" s="22"/>
      <c r="N11" s="23">
        <f t="shared" ref="N11:N16" si="1">SUM(B11:M11)</f>
        <v>0</v>
      </c>
      <c r="O11" s="10"/>
    </row>
    <row r="12" spans="1:16" s="11" customFormat="1" ht="25.2" customHeight="1" x14ac:dyDescent="0.5">
      <c r="A12" s="15" t="s">
        <v>21</v>
      </c>
      <c r="B12" s="60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8">
        <f t="shared" si="1"/>
        <v>0</v>
      </c>
      <c r="O12" s="10"/>
    </row>
    <row r="13" spans="1:16" s="11" customFormat="1" ht="25.2" customHeight="1" x14ac:dyDescent="0.5">
      <c r="A13" s="58" t="s">
        <v>22</v>
      </c>
      <c r="B13" s="61"/>
      <c r="C13" s="13"/>
      <c r="D13" s="13"/>
      <c r="E13" s="13"/>
      <c r="F13" s="13"/>
      <c r="G13" s="13"/>
      <c r="H13" s="13"/>
      <c r="I13" s="13"/>
      <c r="J13" s="13"/>
      <c r="K13" s="13"/>
      <c r="L13" s="19"/>
      <c r="M13" s="19"/>
      <c r="N13" s="14">
        <f t="shared" si="1"/>
        <v>0</v>
      </c>
      <c r="O13" s="10"/>
    </row>
    <row r="14" spans="1:16" s="11" customFormat="1" ht="25.2" customHeight="1" x14ac:dyDescent="0.5">
      <c r="A14" s="15" t="s">
        <v>13</v>
      </c>
      <c r="B14" s="60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8">
        <f t="shared" si="1"/>
        <v>0</v>
      </c>
      <c r="O14" s="10"/>
    </row>
    <row r="15" spans="1:16" s="11" customFormat="1" ht="25.2" customHeight="1" x14ac:dyDescent="0.5">
      <c r="A15" s="58" t="s">
        <v>23</v>
      </c>
      <c r="B15" s="61"/>
      <c r="C15" s="13"/>
      <c r="D15" s="13"/>
      <c r="E15" s="13"/>
      <c r="F15" s="13"/>
      <c r="G15" s="13"/>
      <c r="H15" s="13"/>
      <c r="I15" s="13"/>
      <c r="J15" s="13"/>
      <c r="K15" s="13"/>
      <c r="L15" s="19"/>
      <c r="M15" s="19"/>
      <c r="N15" s="14">
        <f t="shared" si="1"/>
        <v>0</v>
      </c>
      <c r="O15" s="10"/>
    </row>
    <row r="16" spans="1:16" s="11" customFormat="1" ht="25.2" customHeight="1" x14ac:dyDescent="0.5">
      <c r="A16" s="64" t="s">
        <v>24</v>
      </c>
      <c r="B16" s="65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5"/>
      <c r="N16" s="26">
        <f t="shared" si="1"/>
        <v>0</v>
      </c>
      <c r="O16" s="10"/>
    </row>
    <row r="17" spans="1:16" s="11" customFormat="1" ht="25.2" customHeight="1" x14ac:dyDescent="0.5">
      <c r="A17" s="58" t="s">
        <v>25</v>
      </c>
      <c r="B17" s="61"/>
      <c r="C17" s="13"/>
      <c r="D17" s="13"/>
      <c r="E17" s="13"/>
      <c r="F17" s="13"/>
      <c r="G17" s="13"/>
      <c r="H17" s="13"/>
      <c r="I17" s="13"/>
      <c r="J17" s="13"/>
      <c r="K17" s="13"/>
      <c r="L17" s="19"/>
      <c r="M17" s="19"/>
      <c r="N17" s="14" t="str">
        <f>_xlfn.CONCAT(SUM(B17:M17),"/5")</f>
        <v>0/5</v>
      </c>
      <c r="O17" s="10"/>
    </row>
    <row r="18" spans="1:16" s="11" customFormat="1" ht="25.2" customHeight="1" x14ac:dyDescent="0.5">
      <c r="A18" s="15" t="s">
        <v>26</v>
      </c>
      <c r="B18" s="60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8">
        <f>SUM(B18:M18)</f>
        <v>0</v>
      </c>
      <c r="O18" s="10"/>
    </row>
    <row r="19" spans="1:16" s="11" customFormat="1" ht="25.2" customHeight="1" x14ac:dyDescent="0.5">
      <c r="A19" s="58" t="s">
        <v>27</v>
      </c>
      <c r="B19" s="63"/>
      <c r="C19" s="13"/>
      <c r="D19" s="13"/>
      <c r="E19" s="13"/>
      <c r="F19" s="13"/>
      <c r="G19" s="13"/>
      <c r="H19" s="13"/>
      <c r="I19" s="13"/>
      <c r="J19" s="13"/>
      <c r="K19" s="13"/>
      <c r="L19" s="19"/>
      <c r="M19" s="19"/>
      <c r="N19" s="14" t="str">
        <f>_xlfn.CONCAT(SUM(B19:M19),"/20")</f>
        <v>0/20</v>
      </c>
      <c r="O19" s="10"/>
    </row>
    <row r="20" spans="1:16" s="20" customFormat="1" ht="25.2" customHeight="1" x14ac:dyDescent="0.5">
      <c r="A20" s="66" t="s">
        <v>28</v>
      </c>
      <c r="B20" s="60"/>
      <c r="C20" s="16"/>
      <c r="D20" s="16"/>
      <c r="E20" s="16"/>
      <c r="F20" s="16"/>
      <c r="G20" s="24"/>
      <c r="H20" s="24"/>
      <c r="I20" s="24"/>
      <c r="J20" s="24"/>
      <c r="K20" s="24"/>
      <c r="L20" s="25"/>
      <c r="M20" s="25"/>
      <c r="N20" s="18" t="str">
        <f>_xlfn.CONCAT(SUM(B20:M20),"/24")</f>
        <v>0/24</v>
      </c>
      <c r="O20" s="27"/>
    </row>
    <row r="21" spans="1:16" s="11" customFormat="1" ht="25.2" customHeight="1" thickBot="1" x14ac:dyDescent="0.55000000000000004">
      <c r="A21" s="28" t="s">
        <v>29</v>
      </c>
      <c r="B21" s="67"/>
      <c r="C21" s="29"/>
      <c r="D21" s="29"/>
      <c r="E21" s="29"/>
      <c r="F21" s="29"/>
      <c r="G21" s="29"/>
      <c r="H21" s="29"/>
      <c r="I21" s="29"/>
      <c r="J21" s="29"/>
      <c r="K21" s="29"/>
      <c r="L21" s="30"/>
      <c r="M21" s="30"/>
      <c r="N21" s="41">
        <f>'[1]Resumen Anual'!D10+B21+C21+D21+E21+F21+G21+H21+I21+J21+K21+L21+M21+P21</f>
        <v>88.5</v>
      </c>
      <c r="O21" s="31" t="s">
        <v>30</v>
      </c>
      <c r="P21" s="32"/>
    </row>
    <row r="22" spans="1:16" s="20" customFormat="1" ht="25.2" customHeight="1" x14ac:dyDescent="0.5">
      <c r="A22" s="15" t="s">
        <v>31</v>
      </c>
      <c r="B22" s="52"/>
      <c r="C22" s="42"/>
      <c r="D22" s="42"/>
      <c r="E22" s="42"/>
      <c r="F22" s="43"/>
      <c r="G22" s="43"/>
      <c r="H22" s="43"/>
      <c r="I22" s="43"/>
      <c r="J22" s="43"/>
      <c r="K22" s="43"/>
      <c r="L22" s="43"/>
      <c r="M22" s="43"/>
      <c r="N22" s="44">
        <f t="shared" ref="N22:N27" si="2">SUM(B22:H22)</f>
        <v>0</v>
      </c>
      <c r="O22" s="27">
        <f>N22*7.5</f>
        <v>0</v>
      </c>
    </row>
    <row r="23" spans="1:16" s="11" customFormat="1" ht="25.2" customHeight="1" x14ac:dyDescent="0.5">
      <c r="A23" s="45" t="s">
        <v>32</v>
      </c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14">
        <f t="shared" si="2"/>
        <v>0</v>
      </c>
      <c r="O23" s="27">
        <f>N23*7.5</f>
        <v>0</v>
      </c>
      <c r="P23" s="32"/>
    </row>
    <row r="24" spans="1:16" s="20" customFormat="1" ht="25.2" customHeight="1" x14ac:dyDescent="0.5">
      <c r="A24" s="15" t="s">
        <v>33</v>
      </c>
      <c r="B24" s="52"/>
      <c r="C24" s="42"/>
      <c r="D24" s="42"/>
      <c r="E24" s="42"/>
      <c r="F24" s="43"/>
      <c r="G24" s="43"/>
      <c r="H24" s="43"/>
      <c r="I24" s="43"/>
      <c r="J24" s="43"/>
      <c r="K24" s="43"/>
      <c r="L24" s="43"/>
      <c r="M24" s="43"/>
      <c r="N24" s="44">
        <f t="shared" si="2"/>
        <v>0</v>
      </c>
      <c r="O24" s="27">
        <f>N24*9</f>
        <v>0</v>
      </c>
    </row>
    <row r="25" spans="1:16" s="11" customFormat="1" ht="25.2" customHeight="1" x14ac:dyDescent="0.5">
      <c r="A25" s="51" t="s">
        <v>34</v>
      </c>
      <c r="B25" s="53"/>
      <c r="C25" s="50"/>
      <c r="D25" s="50"/>
      <c r="E25" s="50"/>
      <c r="F25" s="49"/>
      <c r="G25" s="48"/>
      <c r="H25" s="48"/>
      <c r="I25" s="48"/>
      <c r="J25" s="48"/>
      <c r="K25" s="48"/>
      <c r="L25" s="48"/>
      <c r="M25" s="48"/>
      <c r="N25" s="14">
        <f t="shared" si="2"/>
        <v>0</v>
      </c>
      <c r="O25" s="27">
        <f>N25*7.5</f>
        <v>0</v>
      </c>
      <c r="P25" s="32"/>
    </row>
    <row r="26" spans="1:16" s="20" customFormat="1" ht="25.2" customHeight="1" x14ac:dyDescent="0.5">
      <c r="A26" s="15" t="s">
        <v>35</v>
      </c>
      <c r="B26" s="52"/>
      <c r="C26" s="42"/>
      <c r="D26" s="42"/>
      <c r="E26" s="42"/>
      <c r="F26" s="43"/>
      <c r="G26" s="43"/>
      <c r="H26" s="43"/>
      <c r="I26" s="43"/>
      <c r="J26" s="43"/>
      <c r="K26" s="43"/>
      <c r="L26" s="43"/>
      <c r="M26" s="43"/>
      <c r="N26" s="44">
        <f t="shared" si="2"/>
        <v>0</v>
      </c>
      <c r="O26" s="27">
        <f>N26*7.5</f>
        <v>0</v>
      </c>
    </row>
    <row r="27" spans="1:16" s="11" customFormat="1" ht="25.2" customHeight="1" thickBot="1" x14ac:dyDescent="0.55000000000000004">
      <c r="A27" s="28" t="s">
        <v>36</v>
      </c>
      <c r="B27" s="28"/>
      <c r="C27" s="40"/>
      <c r="D27" s="40"/>
      <c r="E27" s="40"/>
      <c r="F27" s="29"/>
      <c r="G27" s="29"/>
      <c r="H27" s="29"/>
      <c r="I27" s="29"/>
      <c r="J27" s="29"/>
      <c r="K27" s="29"/>
      <c r="L27" s="29"/>
      <c r="M27" s="29"/>
      <c r="N27" s="54">
        <f t="shared" si="2"/>
        <v>0</v>
      </c>
      <c r="O27" s="27">
        <f>N27*9</f>
        <v>0</v>
      </c>
      <c r="P27" s="32"/>
    </row>
    <row r="28" spans="1:16" ht="18.60000000000000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8"/>
      <c r="O28" s="9"/>
      <c r="P28" s="1"/>
    </row>
  </sheetData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2026-01-30T20:57:14Z</dcterms:modified>
  <cp:category/>
  <cp:contentStatus/>
</cp:coreProperties>
</file>