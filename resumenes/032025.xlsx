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E:\Betanzos\Cuadrantes\Cuadrante 2026\Resúmenes\"/>
    </mc:Choice>
  </mc:AlternateContent>
  <xr:revisionPtr revIDLastSave="0" documentId="13_ncr:1_{BBF3E155-0EF5-4B78-A621-4F9E81FD9300}" xr6:coauthVersionLast="47" xr6:coauthVersionMax="47" xr10:uidLastSave="{00000000-0000-0000-0000-000000000000}"/>
  <bookViews>
    <workbookView xWindow="-108" yWindow="-108" windowWidth="23256" windowHeight="12456" tabRatio="714" xr2:uid="{A6BE57BE-AE6F-4137-B9DB-98770C09AFCD}"/>
  </bookViews>
  <sheets>
    <sheet name="032025" sheetId="1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1" l="1"/>
  <c r="N24" i="11"/>
  <c r="O24" i="11" s="1"/>
  <c r="N23" i="11"/>
  <c r="O23" i="11" s="1"/>
  <c r="N22" i="11"/>
  <c r="O22" i="11" s="1"/>
  <c r="N21" i="11"/>
  <c r="O21" i="11" s="1"/>
  <c r="N20" i="11"/>
  <c r="O20" i="11" s="1"/>
  <c r="N19" i="11"/>
  <c r="O19" i="11" s="1"/>
  <c r="N17" i="11"/>
  <c r="N16" i="11"/>
  <c r="N15" i="11"/>
  <c r="N14" i="11"/>
  <c r="N13" i="11"/>
  <c r="N12" i="11"/>
  <c r="N11" i="11"/>
  <c r="N10" i="11"/>
  <c r="N9" i="11"/>
  <c r="N8" i="11"/>
  <c r="N7" i="11"/>
  <c r="N6" i="11"/>
  <c r="N5" i="11"/>
  <c r="N4" i="11"/>
  <c r="N3" i="11"/>
  <c r="N2" i="11"/>
</calcChain>
</file>

<file path=xl/sharedStrings.xml><?xml version="1.0" encoding="utf-8"?>
<sst xmlns="http://schemas.openxmlformats.org/spreadsheetml/2006/main" count="37" uniqueCount="37">
  <si>
    <t>Enero</t>
  </si>
  <si>
    <t>Febrero</t>
  </si>
  <si>
    <t>Marzo</t>
  </si>
  <si>
    <t>Abril</t>
  </si>
  <si>
    <t>Mayo</t>
  </si>
  <si>
    <t>Junio</t>
  </si>
  <si>
    <t>Vacaciones</t>
  </si>
  <si>
    <t>Julio</t>
  </si>
  <si>
    <t>Agosto</t>
  </si>
  <si>
    <t>Septiembre</t>
  </si>
  <si>
    <t>Octubre</t>
  </si>
  <si>
    <t>Noviembre</t>
  </si>
  <si>
    <t>Diciembre</t>
  </si>
  <si>
    <t>Permisos</t>
  </si>
  <si>
    <t>Total</t>
  </si>
  <si>
    <t>Mañanas</t>
  </si>
  <si>
    <t>Tardes</t>
  </si>
  <si>
    <t>Noches</t>
  </si>
  <si>
    <t>AP's</t>
  </si>
  <si>
    <t>Ferias</t>
  </si>
  <si>
    <t>Días de Trabajo Sindical</t>
  </si>
  <si>
    <t>Días de Baja</t>
  </si>
  <si>
    <t>Días de Juicio</t>
  </si>
  <si>
    <t>Cursos</t>
  </si>
  <si>
    <t>Descansos Compensados</t>
  </si>
  <si>
    <t>Indisposiciones</t>
  </si>
  <si>
    <t>Jefaturas de Servicio</t>
  </si>
  <si>
    <t>Festivos trabajados</t>
  </si>
  <si>
    <t>Fines de semana trabajados</t>
  </si>
  <si>
    <t>Horas Trabajadas</t>
  </si>
  <si>
    <t>H. de baja</t>
  </si>
  <si>
    <t>1ex (N)</t>
  </si>
  <si>
    <t>2ex (N)</t>
  </si>
  <si>
    <t>3ex (N)</t>
  </si>
  <si>
    <t>1ex (F)</t>
  </si>
  <si>
    <t>2ex (F)</t>
  </si>
  <si>
    <t>3ex (F)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</si>
</sst>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20"/>
      <color theme="1"/>
      <name val="Arial"/>
      <family val="2"/>
    </font>
    <font>
      <sz val="14"/>
      <color theme="1"/>
      <name val="Arial"/>
      <family val="2"/>
    </font>
    <font>
      <sz val="20"/>
      <color theme="1"/>
      <name val="Arial"/>
      <family val="2"/>
    </font>
    <font>
      <sz val="20"/>
      <color theme="1"/>
      <name val="Aptos Narrow"/>
      <family val="2"/>
      <scheme val="minor"/>
    </font>
    <font>
      <sz val="11"/>
      <color theme="1"/>
      <name val="Arial"/>
      <family val="2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b/>
      <sz val="15"/>
      <color theme="1"/>
      <name val="Arial"/>
      <family val="2"/>
    </font>
    <font>
      <sz val="18"/>
      <color theme="1"/>
      <name val="Arial"/>
      <family val="2"/>
    </font>
    <font>
      <b/>
      <sz val="14"/>
      <color theme="1"/>
      <name val="Arial"/>
      <family val="2"/>
    </font>
    <font>
      <b/>
      <i/>
      <sz val="15"/>
      <color rgb="FFFF0000"/>
      <name val="Arial"/>
      <family val="2"/>
    </font>
    <font>
      <sz val="20"/>
      <color rgb="FF000000"/>
      <name val="Aptos Narrow"/>
      <family val="2"/>
      <scheme val="minor"/>
    </font>
    <font>
      <sz val="2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1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0" fontId="5" fillId="0" borderId="0" xfId="0" applyFont="1"/>
    <xf numFmtId="0" fontId="2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12" fillId="0" borderId="0" xfId="0" applyFont="1"/>
    <xf numFmtId="0" fontId="3" fillId="2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30" xfId="0" applyFont="1" applyFill="1" applyBorder="1" applyAlignment="1">
      <alignment horizontal="center" vertical="center"/>
    </xf>
    <xf numFmtId="0" fontId="3" fillId="2" borderId="31" xfId="0" applyFont="1" applyFill="1" applyBorder="1" applyAlignment="1">
      <alignment horizontal="center" vertical="center"/>
    </xf>
    <xf numFmtId="0" fontId="3" fillId="2" borderId="32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2" fontId="3" fillId="2" borderId="38" xfId="0" applyNumberFormat="1" applyFont="1" applyFill="1" applyBorder="1" applyAlignment="1">
      <alignment horizontal="center" vertical="center"/>
    </xf>
    <xf numFmtId="0" fontId="10" fillId="0" borderId="11" xfId="0" applyFont="1" applyBorder="1" applyAlignment="1">
      <alignment vertical="center"/>
    </xf>
    <xf numFmtId="2" fontId="1" fillId="2" borderId="1" xfId="0" applyNumberFormat="1" applyFont="1" applyFill="1" applyBorder="1" applyAlignment="1">
      <alignment horizontal="center" vertical="center"/>
    </xf>
    <xf numFmtId="0" fontId="13" fillId="0" borderId="39" xfId="0" applyFont="1" applyBorder="1" applyAlignment="1">
      <alignment horizontal="center" vertical="center"/>
    </xf>
    <xf numFmtId="0" fontId="13" fillId="0" borderId="40" xfId="0" applyFont="1" applyBorder="1"/>
    <xf numFmtId="0" fontId="13" fillId="0" borderId="41" xfId="0" applyFont="1" applyBorder="1"/>
    <xf numFmtId="0" fontId="3" fillId="0" borderId="42" xfId="0" applyFont="1" applyBorder="1" applyAlignment="1">
      <alignment horizontal="center" vertical="center"/>
    </xf>
    <xf numFmtId="0" fontId="13" fillId="0" borderId="43" xfId="0" applyFont="1" applyBorder="1"/>
    <xf numFmtId="0" fontId="13" fillId="0" borderId="41" xfId="0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FF0000"/>
      </font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59A86-E411-4EFE-83BD-DFFBDE80658B}">
  <sheetPr codeName="Hoja10">
    <pageSetUpPr fitToPage="1"/>
  </sheetPr>
  <dimension ref="A1:P25"/>
  <sheetViews>
    <sheetView tabSelected="1" zoomScale="50" zoomScaleNormal="50" workbookViewId="0"/>
  </sheetViews>
  <sheetFormatPr baseColWidth="10" defaultColWidth="12.5546875" defaultRowHeight="15.75" customHeight="1" x14ac:dyDescent="0.3"/>
  <cols>
    <col min="1" max="1" width="35.6640625" customWidth="1"/>
    <col min="2" max="14" width="15.6640625" customWidth="1"/>
    <col min="15" max="15" width="19.33203125" bestFit="1" customWidth="1"/>
    <col min="16" max="16" width="14.77734375" bestFit="1" customWidth="1"/>
  </cols>
  <sheetData>
    <row r="1" spans="1:16" ht="25.2" customHeight="1" thickBot="1" x14ac:dyDescent="0.35">
      <c r="A1" s="59"/>
      <c r="B1" s="30" t="s">
        <v>0</v>
      </c>
      <c r="C1" s="31" t="s">
        <v>1</v>
      </c>
      <c r="D1" s="31" t="s">
        <v>2</v>
      </c>
      <c r="E1" s="31" t="s">
        <v>3</v>
      </c>
      <c r="F1" s="31" t="s">
        <v>4</v>
      </c>
      <c r="G1" s="32" t="s">
        <v>5</v>
      </c>
      <c r="H1" s="33" t="s">
        <v>7</v>
      </c>
      <c r="I1" s="31" t="s">
        <v>8</v>
      </c>
      <c r="J1" s="6" t="s">
        <v>9</v>
      </c>
      <c r="K1" s="31" t="s">
        <v>10</v>
      </c>
      <c r="L1" s="34" t="s">
        <v>11</v>
      </c>
      <c r="M1" s="35" t="s">
        <v>12</v>
      </c>
      <c r="N1" s="4" t="s">
        <v>14</v>
      </c>
      <c r="O1" s="2"/>
    </row>
    <row r="2" spans="1:16" s="10" customFormat="1" ht="25.2" customHeight="1" x14ac:dyDescent="0.5">
      <c r="A2" s="49" t="s">
        <v>15</v>
      </c>
      <c r="B2" s="50"/>
      <c r="C2" s="11"/>
      <c r="D2" s="11"/>
      <c r="E2" s="11"/>
      <c r="F2" s="11"/>
      <c r="G2" s="11"/>
      <c r="H2" s="11"/>
      <c r="I2" s="11"/>
      <c r="J2" s="11"/>
      <c r="K2" s="11"/>
      <c r="L2" s="12"/>
      <c r="M2" s="12"/>
      <c r="N2" s="13">
        <f>SUM(B2:M2)</f>
        <v>0</v>
      </c>
      <c r="O2" s="9"/>
    </row>
    <row r="3" spans="1:16" s="10" customFormat="1" ht="25.2" customHeight="1" x14ac:dyDescent="0.5">
      <c r="A3" s="14" t="s">
        <v>16</v>
      </c>
      <c r="B3" s="51"/>
      <c r="C3" s="15"/>
      <c r="D3" s="15"/>
      <c r="E3" s="15"/>
      <c r="F3" s="15"/>
      <c r="G3" s="15"/>
      <c r="H3" s="15"/>
      <c r="I3" s="15"/>
      <c r="J3" s="15"/>
      <c r="K3" s="15"/>
      <c r="L3" s="16"/>
      <c r="M3" s="16"/>
      <c r="N3" s="17">
        <f t="shared" ref="N3" si="0">SUM(B3:M3)</f>
        <v>0</v>
      </c>
      <c r="O3" s="9"/>
    </row>
    <row r="4" spans="1:16" s="10" customFormat="1" ht="25.2" customHeight="1" x14ac:dyDescent="0.5">
      <c r="A4" s="49" t="s">
        <v>17</v>
      </c>
      <c r="B4" s="52"/>
      <c r="C4" s="12"/>
      <c r="D4" s="12"/>
      <c r="E4" s="12"/>
      <c r="F4" s="12"/>
      <c r="G4" s="12"/>
      <c r="H4" s="12"/>
      <c r="I4" s="12"/>
      <c r="J4" s="12"/>
      <c r="K4" s="12"/>
      <c r="L4" s="18"/>
      <c r="M4" s="18"/>
      <c r="N4" s="13" t="str">
        <f>CONCATENATE(SUM(B4:M4),"/54")</f>
        <v>0/54</v>
      </c>
      <c r="O4" s="9"/>
    </row>
    <row r="5" spans="1:16" s="10" customFormat="1" ht="25.2" customHeight="1" x14ac:dyDescent="0.5">
      <c r="A5" s="14" t="s">
        <v>6</v>
      </c>
      <c r="B5" s="51"/>
      <c r="C5" s="15"/>
      <c r="D5" s="15"/>
      <c r="E5" s="15"/>
      <c r="F5" s="15"/>
      <c r="G5" s="15"/>
      <c r="H5" s="15"/>
      <c r="I5" s="15"/>
      <c r="J5" s="15"/>
      <c r="K5" s="15"/>
      <c r="L5" s="16"/>
      <c r="M5" s="16"/>
      <c r="N5" s="17" t="str">
        <f>_xlfn.CONCAT(SUM(B5:M5),"/22")</f>
        <v>0/22</v>
      </c>
      <c r="O5" s="5"/>
    </row>
    <row r="6" spans="1:16" s="10" customFormat="1" ht="25.2" customHeight="1" x14ac:dyDescent="0.5">
      <c r="A6" s="49" t="s">
        <v>18</v>
      </c>
      <c r="B6" s="52"/>
      <c r="C6" s="12"/>
      <c r="D6" s="12"/>
      <c r="E6" s="12"/>
      <c r="F6" s="12"/>
      <c r="G6" s="12"/>
      <c r="H6" s="12"/>
      <c r="I6" s="12"/>
      <c r="J6" s="12"/>
      <c r="K6" s="12"/>
      <c r="L6" s="18"/>
      <c r="M6" s="18"/>
      <c r="N6" s="13" t="str">
        <f>_xlfn.CONCAT(SUM(F6:M6),"/8")</f>
        <v>0/8</v>
      </c>
      <c r="O6" s="5"/>
    </row>
    <row r="7" spans="1:16" s="10" customFormat="1" ht="25.2" customHeight="1" x14ac:dyDescent="0.5">
      <c r="A7" s="14" t="s">
        <v>19</v>
      </c>
      <c r="B7" s="51"/>
      <c r="C7" s="36"/>
      <c r="D7" s="36"/>
      <c r="E7" s="36"/>
      <c r="F7" s="36"/>
      <c r="G7" s="15"/>
      <c r="H7" s="15"/>
      <c r="I7" s="15"/>
      <c r="J7" s="15"/>
      <c r="K7" s="15"/>
      <c r="L7" s="16"/>
      <c r="M7" s="16"/>
      <c r="N7" s="17" t="str">
        <f>_xlfn.CONCAT(SUM(B7:M7),"/6")</f>
        <v>0/6</v>
      </c>
      <c r="O7" s="9"/>
      <c r="P7" s="19"/>
    </row>
    <row r="8" spans="1:16" s="10" customFormat="1" ht="25.2" customHeight="1" x14ac:dyDescent="0.5">
      <c r="A8" s="53" t="s">
        <v>20</v>
      </c>
      <c r="B8" s="54"/>
      <c r="C8" s="20"/>
      <c r="D8" s="20"/>
      <c r="E8" s="20"/>
      <c r="F8" s="20"/>
      <c r="G8" s="20"/>
      <c r="H8" s="20"/>
      <c r="I8" s="20"/>
      <c r="J8" s="20"/>
      <c r="K8" s="20"/>
      <c r="L8" s="21"/>
      <c r="M8" s="21"/>
      <c r="N8" s="22">
        <f t="shared" ref="N8:N13" si="1">SUM(B8:M8)</f>
        <v>0</v>
      </c>
      <c r="O8" s="9"/>
    </row>
    <row r="9" spans="1:16" s="10" customFormat="1" ht="25.2" customHeight="1" x14ac:dyDescent="0.5">
      <c r="A9" s="14" t="s">
        <v>21</v>
      </c>
      <c r="B9" s="51"/>
      <c r="C9" s="15"/>
      <c r="D9" s="15"/>
      <c r="E9" s="15"/>
      <c r="F9" s="15"/>
      <c r="G9" s="15"/>
      <c r="H9" s="15"/>
      <c r="I9" s="15"/>
      <c r="J9" s="15"/>
      <c r="K9" s="15"/>
      <c r="L9" s="16"/>
      <c r="M9" s="16"/>
      <c r="N9" s="17">
        <f t="shared" si="1"/>
        <v>0</v>
      </c>
      <c r="O9" s="9"/>
    </row>
    <row r="10" spans="1:16" s="10" customFormat="1" ht="25.2" customHeight="1" x14ac:dyDescent="0.5">
      <c r="A10" s="49" t="s">
        <v>22</v>
      </c>
      <c r="B10" s="52"/>
      <c r="C10" s="12"/>
      <c r="D10" s="12"/>
      <c r="E10" s="12"/>
      <c r="F10" s="12"/>
      <c r="G10" s="12"/>
      <c r="H10" s="12"/>
      <c r="I10" s="12"/>
      <c r="J10" s="12"/>
      <c r="K10" s="12"/>
      <c r="L10" s="18"/>
      <c r="M10" s="18"/>
      <c r="N10" s="13">
        <f t="shared" si="1"/>
        <v>0</v>
      </c>
      <c r="O10" s="9"/>
    </row>
    <row r="11" spans="1:16" s="10" customFormat="1" ht="25.2" customHeight="1" x14ac:dyDescent="0.5">
      <c r="A11" s="14" t="s">
        <v>13</v>
      </c>
      <c r="B11" s="51"/>
      <c r="C11" s="15"/>
      <c r="D11" s="15"/>
      <c r="E11" s="15"/>
      <c r="F11" s="15"/>
      <c r="G11" s="15"/>
      <c r="H11" s="15"/>
      <c r="I11" s="15"/>
      <c r="J11" s="15"/>
      <c r="K11" s="15"/>
      <c r="L11" s="16"/>
      <c r="M11" s="16"/>
      <c r="N11" s="17">
        <f t="shared" si="1"/>
        <v>0</v>
      </c>
      <c r="O11" s="9"/>
    </row>
    <row r="12" spans="1:16" s="10" customFormat="1" ht="25.2" customHeight="1" x14ac:dyDescent="0.5">
      <c r="A12" s="49" t="s">
        <v>23</v>
      </c>
      <c r="B12" s="52"/>
      <c r="C12" s="12"/>
      <c r="D12" s="12"/>
      <c r="E12" s="12"/>
      <c r="F12" s="12"/>
      <c r="G12" s="12"/>
      <c r="H12" s="12"/>
      <c r="I12" s="12"/>
      <c r="J12" s="12"/>
      <c r="K12" s="12"/>
      <c r="L12" s="18"/>
      <c r="M12" s="18"/>
      <c r="N12" s="13">
        <f t="shared" si="1"/>
        <v>0</v>
      </c>
      <c r="O12" s="9"/>
    </row>
    <row r="13" spans="1:16" s="10" customFormat="1" ht="25.2" customHeight="1" x14ac:dyDescent="0.5">
      <c r="A13" s="55" t="s">
        <v>24</v>
      </c>
      <c r="B13" s="56"/>
      <c r="C13" s="23"/>
      <c r="D13" s="23"/>
      <c r="E13" s="23"/>
      <c r="F13" s="23"/>
      <c r="G13" s="23"/>
      <c r="H13" s="23"/>
      <c r="I13" s="23"/>
      <c r="J13" s="23"/>
      <c r="K13" s="23"/>
      <c r="L13" s="24"/>
      <c r="M13" s="24"/>
      <c r="N13" s="25">
        <f t="shared" si="1"/>
        <v>0</v>
      </c>
      <c r="O13" s="9"/>
    </row>
    <row r="14" spans="1:16" s="10" customFormat="1" ht="25.2" customHeight="1" x14ac:dyDescent="0.5">
      <c r="A14" s="49" t="s">
        <v>25</v>
      </c>
      <c r="B14" s="52"/>
      <c r="C14" s="12"/>
      <c r="D14" s="12"/>
      <c r="E14" s="12"/>
      <c r="F14" s="12"/>
      <c r="G14" s="12"/>
      <c r="H14" s="12"/>
      <c r="I14" s="12"/>
      <c r="J14" s="12"/>
      <c r="K14" s="12"/>
      <c r="L14" s="18"/>
      <c r="M14" s="18"/>
      <c r="N14" s="13" t="str">
        <f>_xlfn.CONCAT(SUM(B14:M14),"/5")</f>
        <v>0/5</v>
      </c>
      <c r="O14" s="9"/>
    </row>
    <row r="15" spans="1:16" s="10" customFormat="1" ht="25.2" customHeight="1" x14ac:dyDescent="0.5">
      <c r="A15" s="14" t="s">
        <v>26</v>
      </c>
      <c r="B15" s="51"/>
      <c r="C15" s="15"/>
      <c r="D15" s="15"/>
      <c r="E15" s="15"/>
      <c r="F15" s="15"/>
      <c r="G15" s="15"/>
      <c r="H15" s="15"/>
      <c r="I15" s="15"/>
      <c r="J15" s="15"/>
      <c r="K15" s="15"/>
      <c r="L15" s="16"/>
      <c r="M15" s="16"/>
      <c r="N15" s="17">
        <f>SUM(B15:M15)</f>
        <v>0</v>
      </c>
      <c r="O15" s="9"/>
    </row>
    <row r="16" spans="1:16" s="10" customFormat="1" ht="25.2" customHeight="1" thickBot="1" x14ac:dyDescent="0.55000000000000004">
      <c r="A16" s="49" t="s">
        <v>27</v>
      </c>
      <c r="B16" s="54"/>
      <c r="C16" s="12"/>
      <c r="D16" s="12"/>
      <c r="E16" s="12"/>
      <c r="F16" s="12"/>
      <c r="G16" s="12"/>
      <c r="H16" s="12"/>
      <c r="I16" s="12"/>
      <c r="J16" s="12"/>
      <c r="K16" s="12"/>
      <c r="L16" s="18"/>
      <c r="M16" s="18"/>
      <c r="N16" s="13" t="str">
        <f>_xlfn.CONCAT(SUM(B16:M16),"/20")</f>
        <v>0/20</v>
      </c>
      <c r="O16" s="9"/>
    </row>
    <row r="17" spans="1:16" s="19" customFormat="1" ht="25.2" customHeight="1" x14ac:dyDescent="0.5">
      <c r="A17" s="57" t="s">
        <v>28</v>
      </c>
      <c r="B17" s="51"/>
      <c r="C17" s="15"/>
      <c r="D17" s="15"/>
      <c r="E17" s="15"/>
      <c r="F17" s="15"/>
      <c r="G17" s="23"/>
      <c r="H17" s="23"/>
      <c r="I17" s="23"/>
      <c r="J17" s="23"/>
      <c r="K17" s="23"/>
      <c r="L17" s="24"/>
      <c r="M17" s="24"/>
      <c r="N17" s="64" t="str">
        <f>_xlfn.CONCAT(SUM(B17:M17),"/24")</f>
        <v>0/24</v>
      </c>
      <c r="O17" s="61" t="s">
        <v>30</v>
      </c>
    </row>
    <row r="18" spans="1:16" s="10" customFormat="1" ht="25.2" customHeight="1" thickBot="1" x14ac:dyDescent="0.55000000000000004">
      <c r="A18" s="26" t="s">
        <v>29</v>
      </c>
      <c r="B18" s="58"/>
      <c r="C18" s="27"/>
      <c r="D18" s="27"/>
      <c r="E18" s="27"/>
      <c r="F18" s="27"/>
      <c r="G18" s="27"/>
      <c r="H18" s="27"/>
      <c r="I18" s="27"/>
      <c r="J18" s="27"/>
      <c r="K18" s="27"/>
      <c r="L18" s="28"/>
      <c r="M18" s="28"/>
      <c r="N18" s="60">
        <f>+B18+C18+D18+E18+F18+G18+H18+I18+J18+K18+L18+M18+O18</f>
        <v>0</v>
      </c>
      <c r="O18" s="66"/>
      <c r="P18" s="29"/>
    </row>
    <row r="19" spans="1:16" s="19" customFormat="1" ht="25.2" customHeight="1" x14ac:dyDescent="0.5">
      <c r="A19" s="14" t="s">
        <v>31</v>
      </c>
      <c r="B19" s="47"/>
      <c r="C19" s="38"/>
      <c r="D19" s="38"/>
      <c r="E19" s="38"/>
      <c r="F19" s="39"/>
      <c r="G19" s="39"/>
      <c r="H19" s="39"/>
      <c r="I19" s="39"/>
      <c r="J19" s="39"/>
      <c r="K19" s="39"/>
      <c r="L19" s="39"/>
      <c r="M19" s="39"/>
      <c r="N19" s="14">
        <f t="shared" ref="N19:N24" si="2">SUM(B19:H19)</f>
        <v>0</v>
      </c>
      <c r="O19" s="65">
        <f>N19*7.5</f>
        <v>0</v>
      </c>
    </row>
    <row r="20" spans="1:16" s="10" customFormat="1" ht="25.2" customHeight="1" x14ac:dyDescent="0.5">
      <c r="A20" s="40" t="s">
        <v>32</v>
      </c>
      <c r="B20" s="40"/>
      <c r="C20" s="41"/>
      <c r="D20" s="41"/>
      <c r="E20" s="41"/>
      <c r="F20" s="42"/>
      <c r="G20" s="42"/>
      <c r="H20" s="42"/>
      <c r="I20" s="42"/>
      <c r="J20" s="42"/>
      <c r="K20" s="42"/>
      <c r="L20" s="42"/>
      <c r="M20" s="42"/>
      <c r="N20" s="49">
        <f t="shared" si="2"/>
        <v>0</v>
      </c>
      <c r="O20" s="62">
        <f>N20*7.5</f>
        <v>0</v>
      </c>
      <c r="P20" s="29"/>
    </row>
    <row r="21" spans="1:16" s="19" customFormat="1" ht="25.2" customHeight="1" x14ac:dyDescent="0.5">
      <c r="A21" s="14" t="s">
        <v>33</v>
      </c>
      <c r="B21" s="47"/>
      <c r="C21" s="38"/>
      <c r="D21" s="38"/>
      <c r="E21" s="38"/>
      <c r="F21" s="39"/>
      <c r="G21" s="39"/>
      <c r="H21" s="39"/>
      <c r="I21" s="39"/>
      <c r="J21" s="39"/>
      <c r="K21" s="39"/>
      <c r="L21" s="39"/>
      <c r="M21" s="39"/>
      <c r="N21" s="14">
        <f t="shared" si="2"/>
        <v>0</v>
      </c>
      <c r="O21" s="62">
        <f>N21*9</f>
        <v>0</v>
      </c>
    </row>
    <row r="22" spans="1:16" s="10" customFormat="1" ht="25.2" customHeight="1" x14ac:dyDescent="0.5">
      <c r="A22" s="46" t="s">
        <v>34</v>
      </c>
      <c r="B22" s="48"/>
      <c r="C22" s="45"/>
      <c r="D22" s="45"/>
      <c r="E22" s="45"/>
      <c r="F22" s="44"/>
      <c r="G22" s="43"/>
      <c r="H22" s="43"/>
      <c r="I22" s="43"/>
      <c r="J22" s="43"/>
      <c r="K22" s="43"/>
      <c r="L22" s="43"/>
      <c r="M22" s="43"/>
      <c r="N22" s="49">
        <f t="shared" si="2"/>
        <v>0</v>
      </c>
      <c r="O22" s="62">
        <f>N22*7.5</f>
        <v>0</v>
      </c>
      <c r="P22" s="29"/>
    </row>
    <row r="23" spans="1:16" s="19" customFormat="1" ht="25.2" customHeight="1" x14ac:dyDescent="0.5">
      <c r="A23" s="14" t="s">
        <v>35</v>
      </c>
      <c r="B23" s="47"/>
      <c r="C23" s="38"/>
      <c r="D23" s="38"/>
      <c r="E23" s="38"/>
      <c r="F23" s="39"/>
      <c r="G23" s="39"/>
      <c r="H23" s="39"/>
      <c r="I23" s="39"/>
      <c r="J23" s="39"/>
      <c r="K23" s="39"/>
      <c r="L23" s="39"/>
      <c r="M23" s="39"/>
      <c r="N23" s="14">
        <f t="shared" si="2"/>
        <v>0</v>
      </c>
      <c r="O23" s="62">
        <f>N23*7.5</f>
        <v>0</v>
      </c>
    </row>
    <row r="24" spans="1:16" s="10" customFormat="1" ht="25.2" customHeight="1" thickBot="1" x14ac:dyDescent="0.55000000000000004">
      <c r="A24" s="26" t="s">
        <v>36</v>
      </c>
      <c r="B24" s="26"/>
      <c r="C24" s="37"/>
      <c r="D24" s="37"/>
      <c r="E24" s="37"/>
      <c r="F24" s="27"/>
      <c r="G24" s="27"/>
      <c r="H24" s="27"/>
      <c r="I24" s="27"/>
      <c r="J24" s="27"/>
      <c r="K24" s="27"/>
      <c r="L24" s="27"/>
      <c r="M24" s="27"/>
      <c r="N24" s="26">
        <f t="shared" si="2"/>
        <v>0</v>
      </c>
      <c r="O24" s="63">
        <f>N24*9</f>
        <v>0</v>
      </c>
      <c r="P24" s="29"/>
    </row>
    <row r="25" spans="1:16" ht="18.600000000000001" x14ac:dyDescent="0.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7"/>
      <c r="O25" s="8"/>
      <c r="P25" s="1"/>
    </row>
  </sheetData>
  <conditionalFormatting sqref="N25:O25">
    <cfRule type="containsText" dxfId="0" priority="23" operator="containsText" text="ex">
      <formula>NOT(ISERROR(SEARCH(("ex"),(N25))))</formula>
    </cfRule>
  </conditionalFormatting>
  <printOptions horizontalCentered="1" verticalCentered="1"/>
  <pageMargins left="0.78740157480314965" right="0.78740157480314965" top="0.78740157480314965" bottom="0.78740157480314965" header="0.31496062992125984" footer="0.31496062992125984"/>
  <pageSetup paperSize="9" scale="4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032025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Samuel Fernández Pérez</dc:creator>
  <cp:keywords/>
  <dc:description/>
  <cp:lastModifiedBy>Samuel Fernández Pérez</cp:lastModifiedBy>
  <cp:revision/>
  <cp:lastPrinted>2025-08-18T07:15:04Z</cp:lastPrinted>
  <dcterms:created xsi:type="dcterms:W3CDTF">2024-08-20T10:54:08Z</dcterms:created>
  <dcterms:modified xsi:type="dcterms:W3CDTF">2026-01-30T21:01:43Z</dcterms:modified>
  <cp:category/>
  <cp:contentStatus/>
</cp:coreProperties>
</file>