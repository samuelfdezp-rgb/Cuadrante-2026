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istórico" sheetId="1" r:id="rId4"/>
    <sheet state="hidden" name="Año 2025" sheetId="2" r:id="rId5"/>
    <sheet state="visible" name="Enero 2026" sheetId="3" r:id="rId6"/>
    <sheet state="hidden" name="Peticiones y Generalidades" sheetId="4" r:id="rId7"/>
  </sheets>
  <definedNames/>
  <calcPr/>
  <extLst>
    <ext uri="GoogleSheetsCustomDataVersion2">
      <go:sheetsCustomData xmlns:go="http://customooxmlschemas.google.com/" r:id="rId8" roundtripDataChecksum="cicQuJR1zueFOmVYHK0G9527UUrOXXMcWyM1YiWV7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0">
      <text>
        <t xml:space="preserve">cambio 15 y 22 (turno 3):
15 trabaja 13 y descansa 12
22 trabaja 12 y descansa 13
======</t>
      </text>
    </comment>
    <comment authorId="0" ref="U10">
      <text>
        <t xml:space="preserve">cambio 15 y 22 (turno 3):
15 trabaja 13 y descansa 12
22 trabaja 12 y descansa 13
======</t>
      </text>
    </comment>
    <comment authorId="0" ref="I14">
      <text>
        <t xml:space="preserve">cambio 22 y 29:
22 trabaja turno 3
29 trabaja turno 2
======</t>
      </text>
    </comment>
    <comment authorId="0" ref="T14">
      <text>
        <t xml:space="preserve">cambio 15 y 22 (turno 3):
15 trabaja 13 y descansa 12
22 trabaja 12 y descansa 13
======</t>
      </text>
    </comment>
    <comment authorId="0" ref="U14">
      <text>
        <t xml:space="preserve">cambio 15 y 22 (turno 3):
15 trabaja 13 y descansa 12
22 trabaja 12 y descansa 13
======</t>
      </text>
    </comment>
    <comment authorId="0" ref="AB14">
      <text>
        <t xml:space="preserve">cambio 22 y 31:
22 trabaja turno 2
31 trabaja turno 1
======</t>
      </text>
    </comment>
    <comment authorId="0" ref="I18">
      <text>
        <t xml:space="preserve">cambio 25 y 30 (turno 3):
25 trabaja 25/12 y descansa 01/01
30 trabaja 02/01 y descansa 25/12
======</t>
      </text>
    </comment>
    <comment authorId="0" ref="J18">
      <text>
        <t xml:space="preserve">cambio 25 y 30 (turno 3):
25 trabaja 26/12 y descansa 02/01
30 trabaja 02/01 y descansa 26/12
======</t>
      </text>
    </comment>
    <comment authorId="0" ref="Q18">
      <text>
        <t xml:space="preserve">cambio 25 y 26 (turno 2):
25 trabaja 9 y descansa 16
26 trabaja 16 y descansa 9
======</t>
      </text>
    </comment>
    <comment authorId="0" ref="R18">
      <text>
        <t xml:space="preserve">cambio 25 y 26 (turno 2):
25 trabaja 10 y descansa 17
26 trabaja 17 y descansa 10
======</t>
      </text>
    </comment>
    <comment authorId="0" ref="S18">
      <text>
        <t xml:space="preserve">cambio 25 y 26 (turno 2):
25 trabaja 11 y descansa 18
26 trabaja 18 y descansa 11
======</t>
      </text>
    </comment>
    <comment authorId="0" ref="X18">
      <text>
        <t xml:space="preserve">cambio 25 y 26 (turno 2):
25 trabaja 9 y descansa 16
26 trabaja 16 y descansa 9
======</t>
      </text>
    </comment>
    <comment authorId="0" ref="Y18">
      <text>
        <t xml:space="preserve">cambio 25 y 26 (turno 2):
25 trabaja 10 y descansa 17
26 trabaja 17 y descansa 10
======</t>
      </text>
    </comment>
    <comment authorId="0" ref="Z18">
      <text>
        <t xml:space="preserve">cambio 25 y 26 (turno 2):
25 trabaja 11 y descansa 18
26 trabaja 18 y descansa 11
======</t>
      </text>
    </comment>
    <comment authorId="0" ref="Q20">
      <text>
        <t xml:space="preserve">cambio 25 y 26 (turno 2):
25 trabaja 9 y descansa 16
26 trabaja 16 y descansa 9
======</t>
      </text>
    </comment>
    <comment authorId="0" ref="R20">
      <text>
        <t xml:space="preserve">cambio 25 y 26 (turno 2):
25 trabaja 10 y descansa 17
26 trabaja 17 y descansa 10
======</t>
      </text>
    </comment>
    <comment authorId="0" ref="X20">
      <text>
        <t xml:space="preserve">cambio 25 y 26 (turno 2):
25 trabaja 9 y descansa 16
26 trabaja 16 y descansa 9
======</t>
      </text>
    </comment>
    <comment authorId="0" ref="Y20">
      <text>
        <t xml:space="preserve">cambio 25 y 26 (turno 2):
25 trabaja 10 y descansa 17
26 trabaja 17 y descansa 10
======</t>
      </text>
    </comment>
    <comment authorId="0" ref="Z20">
      <text>
        <t xml:space="preserve">cambio 25 y 26 (turno 2):
25 trabaja 11 y descansa 18
26 trabaja 18 y descansa 11
======</t>
      </text>
    </comment>
    <comment authorId="0" ref="R22">
      <text>
        <t xml:space="preserve">cambio 27 y 28 (turno 2):
27 trabaja 17 y descansa 10
28 trabaja 10 y descansa 17
======</t>
      </text>
    </comment>
    <comment authorId="0" ref="S22">
      <text>
        <t xml:space="preserve">cambio 27 y 28 (turno 2):
27 trabaja 18 y descansa 11
28 trabaja 11 y descansa 18
======</t>
      </text>
    </comment>
    <comment authorId="0" ref="Y22">
      <text>
        <t xml:space="preserve">cambio 27 y 28 (turno 2):
27 trabaja 17 y descansa 10
28 trabaja 10 y descansa 17
======</t>
      </text>
    </comment>
    <comment authorId="0" ref="Z22">
      <text>
        <t xml:space="preserve">cambio 27 y 28 (turno 2):
27 trabaja 18 y descansa 11
28 trabaja 11 y descansa 18
======</t>
      </text>
    </comment>
    <comment authorId="0" ref="R24">
      <text>
        <t xml:space="preserve">cambio 27 y 28 (turno 2):
27 trabaja 17 y descansa 10
28 trabaja 10 y descansa 17
======</t>
      </text>
    </comment>
    <comment authorId="0" ref="S24">
      <text>
        <t xml:space="preserve">cambio 27 y 28 (turno 2):
27 trabaja 18 y descansa 11
28 trabaja 11 y descansa 18
======</t>
      </text>
    </comment>
    <comment authorId="0" ref="Y24">
      <text>
        <t xml:space="preserve">cambio 27 y 28 (turno 2):
27 trabaja 17 y descansa 10
28 trabaja 10 y descansa 17
======</t>
      </text>
    </comment>
    <comment authorId="0" ref="Z24">
      <text>
        <t xml:space="preserve">cambio 27 y 28 (turno 2):
27 trabaja 18 y descansa 11
28 trabaja 11 y descansa 18
======</t>
      </text>
    </comment>
    <comment authorId="0" ref="I26">
      <text>
        <t xml:space="preserve">cambio 22 y 29:
22 trabaja turno 3
29 trabaja turno 2
======</t>
      </text>
    </comment>
    <comment authorId="0" ref="I28">
      <text>
        <t xml:space="preserve">cambio 25 y 30 (turno 3):
25 trabaja 25/12 y descansa 01/01
30 trabaja 01/01 y descansa 25/12
======</t>
      </text>
    </comment>
    <comment authorId="0" ref="J28">
      <text>
        <t xml:space="preserve">cambio 25 y 30 (turno 3):
25 trabaja 26/12 y descansa 02/01
30 trabaja 02/01 y descansa 26/12
======</t>
      </text>
    </comment>
  </commentList>
</comments>
</file>

<file path=xl/sharedStrings.xml><?xml version="1.0" encoding="utf-8"?>
<sst xmlns="http://schemas.openxmlformats.org/spreadsheetml/2006/main" count="2651" uniqueCount="160">
  <si>
    <t>Festivos de Enero</t>
  </si>
  <si>
    <t>Año 2020</t>
  </si>
  <si>
    <t>Año 2021</t>
  </si>
  <si>
    <t>Año 2022</t>
  </si>
  <si>
    <t>Año 2023</t>
  </si>
  <si>
    <t>Año 2024</t>
  </si>
  <si>
    <t>Año 2025</t>
  </si>
  <si>
    <t>01</t>
  </si>
  <si>
    <t>02</t>
  </si>
  <si>
    <t>05</t>
  </si>
  <si>
    <t>06</t>
  </si>
  <si>
    <t>032001</t>
  </si>
  <si>
    <t>D</t>
  </si>
  <si>
    <t>L</t>
  </si>
  <si>
    <t>Permiso</t>
  </si>
  <si>
    <t>Vacaciones</t>
  </si>
  <si>
    <t>032005</t>
  </si>
  <si>
    <t>Dc</t>
  </si>
  <si>
    <t>Jefatura</t>
  </si>
  <si>
    <t>032018</t>
  </si>
  <si>
    <t>032015</t>
  </si>
  <si>
    <t>Ts</t>
  </si>
  <si>
    <t>032010</t>
  </si>
  <si>
    <t>032016</t>
  </si>
  <si>
    <t>032022</t>
  </si>
  <si>
    <t>032023</t>
  </si>
  <si>
    <t>032025</t>
  </si>
  <si>
    <t>032026</t>
  </si>
  <si>
    <t>032027</t>
  </si>
  <si>
    <t>032028</t>
  </si>
  <si>
    <t>032029</t>
  </si>
  <si>
    <t>032013</t>
  </si>
  <si>
    <t>B A J A</t>
  </si>
  <si>
    <t>032019</t>
  </si>
  <si>
    <t>A032099</t>
  </si>
  <si>
    <t>Nombre y Apellidos</t>
  </si>
  <si>
    <t>Categoría</t>
  </si>
  <si>
    <t>N.I.P.</t>
  </si>
  <si>
    <t>ENERO</t>
  </si>
  <si>
    <t>Libres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</si>
  <si>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</si>
  <si>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</si>
  <si>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</si>
  <si>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</si>
  <si>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</si>
  <si>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</si>
  <si>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</si>
  <si>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</si>
  <si>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SEP</t>
  </si>
  <si>
    <t>OCTUBRE</t>
  </si>
  <si>
    <t>NOVIEMBRE</t>
  </si>
  <si>
    <t>DICIEMBRE</t>
  </si>
  <si>
    <t>DICI</t>
  </si>
  <si>
    <t>TOTAL</t>
  </si>
  <si>
    <t>03</t>
  </si>
  <si>
    <t>04</t>
  </si>
  <si>
    <t>07</t>
  </si>
  <si>
    <t>08</t>
  </si>
  <si>
    <t>09</t>
  </si>
  <si>
    <t>S</t>
  </si>
  <si>
    <t>Xosé Henrique Fidalgo García</t>
  </si>
  <si>
    <t>Inspector</t>
  </si>
  <si>
    <t>V A C A C I O N E S</t>
  </si>
  <si>
    <t>Tir</t>
  </si>
  <si>
    <t>VACACIONES</t>
  </si>
  <si>
    <t>JuC</t>
  </si>
  <si>
    <t>Alberto Fernández Seijo</t>
  </si>
  <si>
    <t>Oficial</t>
  </si>
  <si>
    <t>AP</t>
  </si>
  <si>
    <t>Javier Fernández Seijo</t>
  </si>
  <si>
    <t>Pedro Rodríguez Pedreira</t>
  </si>
  <si>
    <t>José Gil Sesar</t>
  </si>
  <si>
    <t>Policía</t>
  </si>
  <si>
    <t>Víctor Mendez Vázquez</t>
  </si>
  <si>
    <t>Miguel Naveiras Picos</t>
  </si>
  <si>
    <t>Javier Plana Costoya</t>
  </si>
  <si>
    <t>PERMISO</t>
  </si>
  <si>
    <t>Samuel Fernández Pérez</t>
  </si>
  <si>
    <t>Iago Blanco Muiño</t>
  </si>
  <si>
    <t>Iago Romar Tajes</t>
  </si>
  <si>
    <t>Iker Díaz Villaverde</t>
  </si>
  <si>
    <t>Simeón Porto Fernández</t>
  </si>
  <si>
    <t>Juan Rozados Saya</t>
  </si>
  <si>
    <t>Xoaquín Miguel Novo Vázquez</t>
  </si>
  <si>
    <r>
      <rPr>
        <rFont val="Arial"/>
        <color theme="1"/>
        <sz val="14.0"/>
      </rPr>
      <t xml:space="preserve">Policía
</t>
    </r>
    <r>
      <rPr>
        <rFont val="Arial"/>
        <color theme="1"/>
        <sz val="12.0"/>
      </rPr>
      <t>(Prácticas)</t>
    </r>
  </si>
  <si>
    <t>Ricardo Fariña Vidal</t>
  </si>
  <si>
    <t>Auxiliar</t>
  </si>
  <si>
    <t>Francisco Fernández Otero</t>
  </si>
  <si>
    <t>032017</t>
  </si>
  <si>
    <t>Curso DGT</t>
  </si>
  <si>
    <t>Perm</t>
  </si>
  <si>
    <t>indisp</t>
  </si>
  <si>
    <t>CUADRANTE DE SERVICIO PARA EL MES DE ENERO DE 2026</t>
  </si>
  <si>
    <t>Diciembre</t>
  </si>
  <si>
    <t>Días (Turnos y Descanso)</t>
  </si>
  <si>
    <t>Turnos</t>
  </si>
  <si>
    <t>Mañanas</t>
  </si>
  <si>
    <t>Tardes</t>
  </si>
  <si>
    <t>Noches</t>
  </si>
  <si>
    <t>Descanso</t>
  </si>
  <si>
    <t>Fines de Semana Trabajados</t>
  </si>
  <si>
    <t>Festivos Trabajados</t>
  </si>
  <si>
    <t>H. Trabajadas</t>
  </si>
  <si>
    <t>Bajas</t>
  </si>
  <si>
    <t>Juicios Betanzos</t>
  </si>
  <si>
    <t>Juicios Coruña</t>
  </si>
  <si>
    <t>Permisos</t>
  </si>
  <si>
    <t>Cursos</t>
  </si>
  <si>
    <t>D. Compensados</t>
  </si>
  <si>
    <t>Indisp</t>
  </si>
  <si>
    <t>Jefaturas</t>
  </si>
  <si>
    <t>Domingos</t>
  </si>
  <si>
    <t>JEFATURA</t>
  </si>
  <si>
    <t>Dcc</t>
  </si>
  <si>
    <t>Dct</t>
  </si>
  <si>
    <t>y3</t>
  </si>
  <si>
    <t>perm</t>
  </si>
  <si>
    <t>y2</t>
  </si>
  <si>
    <t>Dcv</t>
  </si>
  <si>
    <t>Martín Lago Fernández</t>
  </si>
  <si>
    <t>032030</t>
  </si>
  <si>
    <t>Carlota Tella Granda</t>
  </si>
  <si>
    <t>032031</t>
  </si>
  <si>
    <t>BAJA</t>
  </si>
  <si>
    <t>Betanzos, a Jueves, 1 de Enero de 2026</t>
  </si>
  <si>
    <t>Fdo/ Inspector-Jefe</t>
  </si>
  <si>
    <t>7:00 - 14:30</t>
  </si>
  <si>
    <t>14:30 - 22:00</t>
  </si>
  <si>
    <t>22:00 - 7:00</t>
  </si>
  <si>
    <t>Jefe de Servicio Mañana</t>
  </si>
  <si>
    <t>Jefe de Servicio Tarde</t>
  </si>
  <si>
    <t>Jefe de Servicio Noche</t>
  </si>
  <si>
    <t>AP´s</t>
  </si>
  <si>
    <t>Mañanas y tardes</t>
  </si>
  <si>
    <t>Findes</t>
  </si>
  <si>
    <t>Distribución de las jornadas</t>
  </si>
  <si>
    <t>Peculiaridades del mes</t>
  </si>
  <si>
    <t>ind</t>
  </si>
  <si>
    <t>3-1-1</t>
  </si>
  <si>
    <t>+ tardes que mañanas</t>
  </si>
  <si>
    <t>12-15</t>
  </si>
  <si>
    <t>-</t>
  </si>
  <si>
    <t>indiferente</t>
  </si>
  <si>
    <t>3-1-1 / 3-2</t>
  </si>
  <si>
    <t>+ mañanas que tardes</t>
  </si>
  <si>
    <t>Librar las tardes de martes, jueves y viernes</t>
  </si>
  <si>
    <t>Libres del día 1 al 4</t>
  </si>
  <si>
    <t>Laura González Gil</t>
  </si>
  <si>
    <t>032020</t>
  </si>
  <si>
    <t>3-2</t>
  </si>
  <si>
    <t>finde de mañana o tarde para doblar</t>
  </si>
  <si>
    <t>descansos repartidos</t>
  </si>
  <si>
    <t>finde del 21</t>
  </si>
  <si>
    <t>+ días seguidos</t>
  </si>
  <si>
    <t>30 y 31</t>
  </si>
  <si>
    <t>+1 descanso consecutivo y repartidos</t>
  </si>
  <si>
    <t>Finde del 28 libre</t>
  </si>
  <si>
    <t>Finde del 22 noches</t>
  </si>
  <si>
    <t>Vacaciones pendientes a partir del día 14</t>
  </si>
  <si>
    <t>A032029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</si>
</sst>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1">
    <font>
      <sz val="10.0"/>
      <color rgb="FF000000"/>
      <name val="Calibri"/>
      <scheme val="minor"/>
    </font>
    <font>
      <sz val="10.0"/>
      <color rgb="FF000000"/>
      <name val="Calibri"/>
    </font>
    <font>
      <b/>
      <sz val="20.0"/>
      <color rgb="FF000000"/>
      <name val="Calibri"/>
    </font>
    <font/>
    <font>
      <b/>
      <sz val="12.0"/>
      <color rgb="FF000000"/>
      <name val="Calibri"/>
    </font>
    <font>
      <sz val="11.0"/>
      <color rgb="FF000000"/>
      <name val="Calibri"/>
    </font>
    <font>
      <b/>
      <i/>
      <sz val="8.0"/>
      <color rgb="FFFF0000"/>
      <name val="Calibri"/>
    </font>
    <font>
      <b/>
      <i/>
      <sz val="10.0"/>
      <color rgb="FFFF0000"/>
      <name val="Calibri"/>
    </font>
    <font>
      <b/>
      <sz val="10.0"/>
      <color rgb="FFFF0000"/>
      <name val="Calibri"/>
    </font>
    <font>
      <b/>
      <sz val="30.0"/>
      <color theme="1"/>
      <name val="Comic Sans MS"/>
    </font>
    <font>
      <sz val="10.0"/>
      <color theme="1"/>
      <name val="Arial"/>
    </font>
    <font>
      <b/>
      <sz val="14.0"/>
      <color theme="1"/>
      <name val="Arial"/>
    </font>
    <font>
      <b/>
      <sz val="20.0"/>
      <color theme="1"/>
      <name val="Arial"/>
    </font>
    <font>
      <b/>
      <sz val="16.0"/>
      <color theme="1"/>
      <name val="Arial"/>
    </font>
    <font>
      <b/>
      <sz val="20.0"/>
      <color rgb="FFFF0000"/>
      <name val="Arial"/>
    </font>
    <font>
      <sz val="14.0"/>
      <color theme="1"/>
      <name val="Arial"/>
    </font>
    <font>
      <b/>
      <i/>
      <sz val="20.0"/>
      <color rgb="FFFF0000"/>
      <name val="Arial"/>
    </font>
    <font>
      <sz val="20.0"/>
      <color theme="1"/>
      <name val="Arial"/>
    </font>
    <font>
      <strike/>
      <sz val="20.0"/>
      <color theme="1"/>
      <name val="Arial"/>
    </font>
    <font>
      <b/>
      <sz val="18.0"/>
      <color rgb="FFFF0000"/>
      <name val="Arial"/>
    </font>
    <font>
      <sz val="20.0"/>
      <color rgb="FFFF0000"/>
      <name val="Arial"/>
    </font>
    <font>
      <sz val="10.0"/>
      <color theme="1"/>
      <name val="Calibri"/>
    </font>
    <font>
      <sz val="12.0"/>
      <color theme="1"/>
      <name val="Arial"/>
    </font>
    <font>
      <b/>
      <strike/>
      <sz val="18.0"/>
      <color rgb="FFFF0000"/>
      <name val="Arial"/>
    </font>
    <font>
      <b/>
      <i/>
      <sz val="18.0"/>
      <color rgb="FFFF0000"/>
      <name val="Arial"/>
    </font>
    <font>
      <sz val="10.0"/>
      <color rgb="FFFF0000"/>
      <name val="Arial"/>
    </font>
    <font>
      <sz val="12.0"/>
      <color rgb="FFFF0000"/>
      <name val="Arial"/>
    </font>
    <font>
      <sz val="13.0"/>
      <color theme="1"/>
      <name val="Arial"/>
    </font>
    <font>
      <sz val="16.0"/>
      <color theme="1"/>
      <name val="Arial"/>
    </font>
    <font>
      <strike/>
      <sz val="20.0"/>
      <color rgb="FFFF0000"/>
      <name val="Arial"/>
    </font>
    <font>
      <b/>
      <i/>
      <sz val="14.0"/>
      <color rgb="FFFF0000"/>
      <name val="Arial"/>
    </font>
    <font>
      <b/>
      <i/>
      <sz val="20.0"/>
      <color theme="1"/>
      <name val="Arial"/>
    </font>
    <font>
      <b/>
      <sz val="19.0"/>
      <color rgb="FFFF0000"/>
      <name val="Arial"/>
    </font>
    <font>
      <b/>
      <strike/>
      <sz val="20.0"/>
      <color rgb="FFFF0000"/>
      <name val="Arial"/>
    </font>
    <font>
      <b/>
      <sz val="10.0"/>
      <color rgb="FFFF0000"/>
      <name val="Arial"/>
    </font>
    <font>
      <sz val="50.0"/>
      <color theme="1"/>
      <name val="Calibri"/>
    </font>
    <font>
      <b/>
      <sz val="100.0"/>
      <color theme="1"/>
      <name val="Calibri"/>
    </font>
    <font>
      <b/>
      <sz val="15.0"/>
      <color theme="1"/>
      <name val="Arial"/>
    </font>
    <font>
      <b/>
      <sz val="24.0"/>
      <color theme="1"/>
      <name val="Arial"/>
    </font>
    <font>
      <sz val="10.0"/>
      <color rgb="FF000000"/>
      <name val="Arial"/>
    </font>
    <font>
      <b/>
      <sz val="14.0"/>
      <color rgb="FFFF0000"/>
      <name val="Arial"/>
    </font>
    <font>
      <b/>
      <sz val="24.0"/>
      <color rgb="FFFF0000"/>
      <name val="Arial"/>
    </font>
    <font>
      <sz val="10.0"/>
      <color rgb="FF0000FF"/>
      <name val="Arial"/>
    </font>
    <font>
      <sz val="10.0"/>
      <color rgb="FFFF9900"/>
      <name val="Arial"/>
    </font>
    <font>
      <sz val="10.0"/>
      <color rgb="FF38761D"/>
      <name val="Arial"/>
    </font>
    <font>
      <b/>
      <i/>
      <sz val="10.0"/>
      <color rgb="FFFF0000"/>
      <name val="Arial"/>
    </font>
    <font>
      <b/>
      <sz val="10.0"/>
      <color rgb="FF4A86E8"/>
      <name val="Arial"/>
    </font>
    <font>
      <b/>
      <i/>
      <sz val="24.0"/>
      <color rgb="FFFF0000"/>
      <name val="Arial"/>
    </font>
    <font>
      <sz val="24.0"/>
      <color theme="1"/>
      <name val="Arial"/>
    </font>
    <font>
      <sz val="24.0"/>
      <color rgb="FFFF0000"/>
      <name val="Arial"/>
    </font>
    <font>
      <sz val="14.0"/>
      <color rgb="FFFF0000"/>
      <name val="Arial"/>
    </font>
    <font>
      <strike/>
      <sz val="24.0"/>
      <color theme="1"/>
      <name val="Arial"/>
    </font>
    <font>
      <sz val="18.0"/>
      <color rgb="FFFF0000"/>
      <name val="Arial"/>
    </font>
    <font>
      <sz val="14.0"/>
      <color rgb="FF0000FF"/>
      <name val="Arial"/>
    </font>
    <font>
      <sz val="14.0"/>
      <color rgb="FF38761D"/>
      <name val="Arial"/>
    </font>
    <font>
      <b/>
      <sz val="10.0"/>
      <color rgb="FF0000FF"/>
      <name val="Arial"/>
    </font>
    <font>
      <b/>
      <sz val="10.0"/>
      <color rgb="FFFF9900"/>
      <name val="Arial"/>
    </font>
    <font>
      <b/>
      <sz val="15.0"/>
      <color theme="1"/>
      <name val="Calibri"/>
    </font>
    <font>
      <sz val="15.0"/>
      <color theme="1"/>
      <name val="Calibri"/>
    </font>
    <font>
      <sz val="12.0"/>
      <color theme="1"/>
      <name val="Calibri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/>
      <right/>
      <top/>
      <bottom/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quotePrefix="1"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0" fillId="0" fontId="2" numFmtId="0" xfId="0" applyFont="1"/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2" fontId="4" numFmtId="0" xfId="0" applyAlignment="1" applyBorder="1" applyFill="1" applyFont="1">
      <alignment horizontal="center"/>
    </xf>
    <xf borderId="9" fillId="0" fontId="3" numFmtId="0" xfId="0" applyBorder="1" applyFont="1"/>
    <xf borderId="7" fillId="0" fontId="4" numFmtId="0" xfId="0" applyAlignment="1" applyBorder="1" applyFont="1">
      <alignment horizontal="center"/>
    </xf>
    <xf borderId="0" fillId="0" fontId="4" numFmtId="0" xfId="0" applyFont="1"/>
    <xf quotePrefix="1" borderId="10" fillId="0" fontId="5" numFmtId="0" xfId="0" applyBorder="1" applyFont="1"/>
    <xf quotePrefix="1" borderId="11" fillId="0" fontId="5" numFmtId="0" xfId="0" applyBorder="1" applyFont="1"/>
    <xf quotePrefix="1" borderId="12" fillId="0" fontId="5" numFmtId="0" xfId="0" applyBorder="1" applyFont="1"/>
    <xf quotePrefix="1" borderId="10" fillId="2" fontId="5" numFmtId="0" xfId="0" applyBorder="1" applyFont="1"/>
    <xf quotePrefix="1" borderId="11" fillId="2" fontId="5" numFmtId="0" xfId="0" applyBorder="1" applyFont="1"/>
    <xf quotePrefix="1" borderId="13" fillId="2" fontId="5" numFmtId="0" xfId="0" applyBorder="1" applyFont="1"/>
    <xf quotePrefix="1" borderId="13" fillId="0" fontId="5" numFmtId="0" xfId="0" applyBorder="1" applyFont="1"/>
    <xf quotePrefix="1" borderId="14" fillId="0" fontId="5" numFmtId="0" xfId="0" applyBorder="1" applyFont="1"/>
    <xf borderId="0" fillId="0" fontId="5" numFmtId="0" xfId="0" applyFont="1"/>
    <xf quotePrefix="1" borderId="6" fillId="0" fontId="5" numFmtId="0" xfId="0" applyBorder="1" applyFont="1"/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quotePrefix="1" borderId="22" fillId="0" fontId="5" numFmtId="0" xfId="0" applyBorder="1" applyFont="1"/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2" fontId="6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7" numFmtId="0" xfId="0" applyAlignment="1" applyBorder="1" applyFont="1">
      <alignment horizontal="center" vertical="center"/>
    </xf>
    <xf borderId="30" fillId="0" fontId="3" numFmtId="0" xfId="0" applyBorder="1" applyFont="1"/>
    <xf borderId="22" fillId="2" fontId="7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0" fontId="1" numFmtId="0" xfId="0" applyAlignment="1" applyBorder="1" applyFont="1">
      <alignment horizontal="center" vertical="center"/>
    </xf>
    <xf borderId="24" fillId="2" fontId="8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34" fillId="0" fontId="5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10" numFmtId="0" xfId="0" applyBorder="1" applyFont="1"/>
    <xf borderId="35" fillId="0" fontId="10" numFmtId="0" xfId="0" applyAlignment="1" applyBorder="1" applyFont="1">
      <alignment horizontal="center"/>
    </xf>
    <xf borderId="36" fillId="0" fontId="1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38" fillId="0" fontId="11" numFmtId="0" xfId="0" applyAlignment="1" applyBorder="1" applyFont="1">
      <alignment horizontal="center" vertical="center"/>
    </xf>
    <xf borderId="35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vertical="center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quotePrefix="1" borderId="42" fillId="3" fontId="14" numFmtId="0" xfId="0" applyAlignment="1" applyBorder="1" applyFill="1" applyFont="1">
      <alignment horizontal="center" vertical="center"/>
    </xf>
    <xf quotePrefix="1" borderId="43" fillId="0" fontId="12" numFmtId="0" xfId="0" applyAlignment="1" applyBorder="1" applyFont="1">
      <alignment horizontal="center" vertical="center"/>
    </xf>
    <xf borderId="43" fillId="0" fontId="12" numFmtId="0" xfId="0" applyAlignment="1" applyBorder="1" applyFont="1">
      <alignment horizontal="center" vertical="center"/>
    </xf>
    <xf borderId="42" fillId="3" fontId="14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vertical="center"/>
    </xf>
    <xf borderId="45" fillId="3" fontId="14" numFmtId="0" xfId="0" applyAlignment="1" applyBorder="1" applyFont="1">
      <alignment horizontal="center" vertical="center"/>
    </xf>
    <xf borderId="36" fillId="0" fontId="12" numFmtId="0" xfId="0" applyAlignment="1" applyBorder="1" applyFont="1">
      <alignment horizontal="center" vertical="center"/>
    </xf>
    <xf borderId="37" fillId="0" fontId="12" numFmtId="0" xfId="0" applyAlignment="1" applyBorder="1" applyFont="1">
      <alignment horizontal="center" vertical="center"/>
    </xf>
    <xf borderId="46" fillId="0" fontId="12" numFmtId="0" xfId="0" applyAlignment="1" applyBorder="1" applyFont="1">
      <alignment horizontal="center" vertical="center"/>
    </xf>
    <xf quotePrefix="1" borderId="3" fillId="0" fontId="12" numFmtId="0" xfId="0" applyAlignment="1" applyBorder="1" applyFont="1">
      <alignment horizontal="center" vertical="center"/>
    </xf>
    <xf quotePrefix="1" borderId="37" fillId="0" fontId="12" numFmtId="0" xfId="0" applyAlignment="1" applyBorder="1" applyFont="1">
      <alignment horizontal="center" vertical="center"/>
    </xf>
    <xf quotePrefix="1" borderId="47" fillId="3" fontId="14" numFmtId="0" xfId="0" applyAlignment="1" applyBorder="1" applyFont="1">
      <alignment horizontal="center" vertical="center"/>
    </xf>
    <xf borderId="47" fillId="3" fontId="14" numFmtId="0" xfId="0" applyAlignment="1" applyBorder="1" applyFont="1">
      <alignment horizontal="center" vertical="center"/>
    </xf>
    <xf borderId="48" fillId="0" fontId="12" numFmtId="0" xfId="0" applyAlignment="1" applyBorder="1" applyFont="1">
      <alignment horizontal="center" vertical="center"/>
    </xf>
    <xf quotePrefix="1" borderId="36" fillId="0" fontId="12" numFmtId="0" xfId="0" applyAlignment="1" applyBorder="1" applyFont="1">
      <alignment horizontal="center" vertical="center"/>
    </xf>
    <xf borderId="49" fillId="3" fontId="14" numFmtId="0" xfId="0" applyAlignment="1" applyBorder="1" applyFont="1">
      <alignment horizontal="center" vertical="center"/>
    </xf>
    <xf borderId="50" fillId="3" fontId="14" numFmtId="0" xfId="0" applyAlignment="1" applyBorder="1" applyFont="1">
      <alignment horizontal="center" vertical="center"/>
    </xf>
    <xf borderId="50" fillId="0" fontId="12" numFmtId="0" xfId="0" applyAlignment="1" applyBorder="1" applyFont="1">
      <alignment horizontal="center" vertical="center"/>
    </xf>
    <xf borderId="51" fillId="0" fontId="12" numFmtId="0" xfId="0" applyAlignment="1" applyBorder="1" applyFont="1">
      <alignment horizontal="center" vertical="center"/>
    </xf>
    <xf quotePrefix="1" borderId="52" fillId="3" fontId="14" numFmtId="0" xfId="0" applyAlignment="1" applyBorder="1" applyFont="1">
      <alignment horizontal="center" vertical="center"/>
    </xf>
    <xf borderId="38" fillId="0" fontId="12" numFmtId="0" xfId="0" applyAlignment="1" applyBorder="1" applyFont="1">
      <alignment horizontal="center" vertical="center"/>
    </xf>
    <xf quotePrefix="1" borderId="53" fillId="3" fontId="14" numFmtId="0" xfId="0" applyAlignment="1" applyBorder="1" applyFont="1">
      <alignment horizontal="center" vertical="center"/>
    </xf>
    <xf borderId="36" fillId="4" fontId="15" numFmtId="0" xfId="0" applyAlignment="1" applyBorder="1" applyFill="1" applyFont="1">
      <alignment horizontal="center" vertical="center"/>
    </xf>
    <xf borderId="37" fillId="4" fontId="15" numFmtId="0" xfId="0" applyAlignment="1" applyBorder="1" applyFont="1">
      <alignment horizontal="center" vertical="center"/>
    </xf>
    <xf quotePrefix="1" borderId="46" fillId="4" fontId="15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54" fillId="0" fontId="17" numFmtId="0" xfId="0" applyAlignment="1" applyBorder="1" applyFont="1">
      <alignment horizontal="center" vertical="center"/>
    </xf>
    <xf borderId="55" fillId="0" fontId="17" numFmtId="0" xfId="0" applyAlignment="1" applyBorder="1" applyFont="1">
      <alignment horizontal="center" vertical="center"/>
    </xf>
    <xf borderId="56" fillId="0" fontId="17" numFmtId="0" xfId="0" applyAlignment="1" applyBorder="1" applyFont="1">
      <alignment horizontal="center" vertical="center"/>
    </xf>
    <xf borderId="57" fillId="0" fontId="17" numFmtId="0" xfId="0" applyAlignment="1" applyBorder="1" applyFont="1">
      <alignment horizontal="center" vertical="center"/>
    </xf>
    <xf borderId="58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vertical="center"/>
    </xf>
    <xf borderId="59" fillId="0" fontId="16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54" fillId="0" fontId="14" numFmtId="0" xfId="0" applyAlignment="1" applyBorder="1" applyFont="1">
      <alignment horizontal="center" vertical="center"/>
    </xf>
    <xf borderId="54" fillId="0" fontId="18" numFmtId="0" xfId="0" applyAlignment="1" applyBorder="1" applyFont="1">
      <alignment horizontal="center" vertical="center"/>
    </xf>
    <xf borderId="54" fillId="0" fontId="19" numFmtId="0" xfId="0" applyAlignment="1" applyBorder="1" applyFont="1">
      <alignment horizontal="center" vertical="center"/>
    </xf>
    <xf borderId="59" fillId="0" fontId="17" numFmtId="0" xfId="0" applyAlignment="1" applyBorder="1" applyFont="1">
      <alignment horizontal="center" vertical="center"/>
    </xf>
    <xf borderId="60" fillId="0" fontId="3" numFmtId="0" xfId="0" applyBorder="1" applyFont="1"/>
    <xf borderId="10" fillId="0" fontId="20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 vertical="center"/>
    </xf>
    <xf borderId="61" fillId="0" fontId="20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vertical="center"/>
    </xf>
    <xf borderId="37" fillId="0" fontId="15" numFmtId="0" xfId="0" applyAlignment="1" applyBorder="1" applyFont="1">
      <alignment horizontal="center" vertical="center"/>
    </xf>
    <xf quotePrefix="1" borderId="46" fillId="0" fontId="15" numFmtId="0" xfId="0" applyAlignment="1" applyBorder="1" applyFont="1">
      <alignment horizontal="center" vertical="center"/>
    </xf>
    <xf borderId="37" fillId="0" fontId="17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16" fillId="0" fontId="17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center" vertical="center"/>
    </xf>
    <xf borderId="17" fillId="0" fontId="17" numFmtId="0" xfId="0" applyAlignment="1" applyBorder="1" applyFont="1">
      <alignment horizontal="center" vertical="center"/>
    </xf>
    <xf borderId="21" fillId="0" fontId="17" numFmtId="0" xfId="0" applyAlignment="1" applyBorder="1" applyFont="1">
      <alignment horizontal="center" vertical="center"/>
    </xf>
    <xf borderId="62" fillId="0" fontId="17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62" fillId="0" fontId="21" numFmtId="0" xfId="0" applyBorder="1" applyFont="1"/>
    <xf borderId="12" fillId="0" fontId="10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vertical="center"/>
    </xf>
    <xf borderId="61" fillId="0" fontId="17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center" vertical="center"/>
    </xf>
    <xf borderId="62" fillId="0" fontId="3" numFmtId="0" xfId="0" applyBorder="1" applyFont="1"/>
    <xf borderId="11" fillId="0" fontId="25" numFmtId="0" xfId="0" applyAlignment="1" applyBorder="1" applyFont="1">
      <alignment horizontal="center" vertical="center"/>
    </xf>
    <xf borderId="63" fillId="0" fontId="24" numFmtId="0" xfId="0" applyAlignment="1" applyBorder="1" applyFont="1">
      <alignment horizontal="center" vertical="center"/>
    </xf>
    <xf borderId="64" fillId="0" fontId="20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0" fontId="26" numFmtId="0" xfId="0" applyAlignment="1" applyBorder="1" applyFont="1">
      <alignment horizontal="center" vertical="center"/>
    </xf>
    <xf borderId="57" fillId="0" fontId="20" numFmtId="0" xfId="0" applyAlignment="1" applyBorder="1" applyFont="1">
      <alignment horizontal="center" vertical="center"/>
    </xf>
    <xf borderId="65" fillId="0" fontId="17" numFmtId="0" xfId="0" applyAlignment="1" applyBorder="1" applyFont="1">
      <alignment horizontal="center" vertical="center"/>
    </xf>
    <xf borderId="57" fillId="0" fontId="18" numFmtId="0" xfId="0" applyAlignment="1" applyBorder="1" applyFont="1">
      <alignment horizontal="center" vertical="center"/>
    </xf>
    <xf borderId="59" fillId="0" fontId="18" numFmtId="0" xfId="0" applyAlignment="1" applyBorder="1" applyFont="1">
      <alignment horizontal="center" vertical="center"/>
    </xf>
    <xf borderId="58" fillId="0" fontId="18" numFmtId="0" xfId="0" applyAlignment="1" applyBorder="1" applyFont="1">
      <alignment horizontal="center" vertical="center"/>
    </xf>
    <xf borderId="54" fillId="0" fontId="20" numFmtId="0" xfId="0" applyAlignment="1" applyBorder="1" applyFont="1">
      <alignment horizontal="center" vertical="center"/>
    </xf>
    <xf borderId="11" fillId="0" fontId="27" numFmtId="0" xfId="0" applyAlignment="1" applyBorder="1" applyFont="1">
      <alignment horizontal="center" vertical="center"/>
    </xf>
    <xf borderId="61" fillId="0" fontId="21" numFmtId="0" xfId="0" applyBorder="1" applyFont="1"/>
    <xf borderId="8" fillId="0" fontId="18" numFmtId="0" xfId="0" applyAlignment="1" applyBorder="1" applyFont="1">
      <alignment horizontal="center" vertical="center"/>
    </xf>
    <xf borderId="11" fillId="0" fontId="28" numFmtId="0" xfId="0" applyAlignment="1" applyBorder="1" applyFont="1">
      <alignment horizontal="center" vertical="center"/>
    </xf>
    <xf borderId="40" fillId="0" fontId="17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 vertical="center"/>
    </xf>
    <xf borderId="23" fillId="0" fontId="23" numFmtId="0" xfId="0" applyAlignment="1" applyBorder="1" applyFont="1">
      <alignment horizontal="center" vertical="center"/>
    </xf>
    <xf borderId="54" fillId="0" fontId="29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1" fillId="0" fontId="30" numFmtId="0" xfId="0" applyAlignment="1" applyBorder="1" applyFont="1">
      <alignment horizontal="center" vertical="center"/>
    </xf>
    <xf borderId="11" fillId="0" fontId="31" numFmtId="0" xfId="0" applyAlignment="1" applyBorder="1" applyFont="1">
      <alignment horizontal="center" vertical="center"/>
    </xf>
    <xf borderId="11" fillId="0" fontId="29" numFmtId="0" xfId="0" applyAlignment="1" applyBorder="1" applyFont="1">
      <alignment horizontal="center" vertical="center"/>
    </xf>
    <xf borderId="11" fillId="0" fontId="32" numFmtId="0" xfId="0" applyAlignment="1" applyBorder="1" applyFont="1">
      <alignment horizontal="center" vertical="center"/>
    </xf>
    <xf borderId="54" fillId="0" fontId="33" numFmtId="0" xfId="0" applyAlignment="1" applyBorder="1" applyFont="1">
      <alignment horizontal="center" vertical="center"/>
    </xf>
    <xf borderId="37" fillId="4" fontId="15" numFmtId="0" xfId="0" applyAlignment="1" applyBorder="1" applyFont="1">
      <alignment horizontal="center" shrinkToFit="0" vertical="center" wrapText="1"/>
    </xf>
    <xf borderId="66" fillId="0" fontId="17" numFmtId="0" xfId="0" applyAlignment="1" applyBorder="1" applyFont="1">
      <alignment horizontal="center" vertical="center"/>
    </xf>
    <xf borderId="50" fillId="0" fontId="17" numFmtId="0" xfId="0" applyAlignment="1" applyBorder="1" applyFont="1">
      <alignment horizontal="center" vertical="center"/>
    </xf>
    <xf borderId="50" fillId="0" fontId="18" numFmtId="0" xfId="0" applyAlignment="1" applyBorder="1" applyFont="1">
      <alignment horizontal="center" vertical="center"/>
    </xf>
    <xf borderId="7" fillId="0" fontId="21" numFmtId="0" xfId="0" applyBorder="1" applyFont="1"/>
    <xf borderId="8" fillId="0" fontId="21" numFmtId="0" xfId="0" applyBorder="1" applyFont="1"/>
    <xf borderId="39" fillId="0" fontId="17" numFmtId="0" xfId="0" applyAlignment="1" applyBorder="1" applyFont="1">
      <alignment horizontal="center" vertical="center"/>
    </xf>
    <xf borderId="40" fillId="0" fontId="22" numFmtId="0" xfId="0" applyAlignment="1" applyBorder="1" applyFont="1">
      <alignment horizontal="center" vertical="center"/>
    </xf>
    <xf borderId="40" fillId="0" fontId="27" numFmtId="0" xfId="0" applyAlignment="1" applyBorder="1" applyFont="1">
      <alignment horizontal="center" vertical="center"/>
    </xf>
    <xf borderId="44" fillId="0" fontId="17" numFmtId="0" xfId="0" applyAlignment="1" applyBorder="1" applyFont="1">
      <alignment horizontal="center" vertical="center"/>
    </xf>
    <xf borderId="41" fillId="0" fontId="17" numFmtId="0" xfId="0" applyAlignment="1" applyBorder="1" applyFont="1">
      <alignment horizontal="center" vertical="center"/>
    </xf>
    <xf borderId="60" fillId="0" fontId="17" numFmtId="0" xfId="0" applyAlignment="1" applyBorder="1" applyFont="1">
      <alignment horizontal="center" vertical="center"/>
    </xf>
    <xf borderId="67" fillId="0" fontId="17" numFmtId="0" xfId="0" applyBorder="1" applyFont="1"/>
    <xf borderId="40" fillId="0" fontId="17" numFmtId="0" xfId="0" applyBorder="1" applyFont="1"/>
    <xf borderId="40" fillId="0" fontId="34" numFmtId="0" xfId="0" applyAlignment="1" applyBorder="1" applyFont="1">
      <alignment horizontal="center" shrinkToFit="0" wrapText="1"/>
    </xf>
    <xf borderId="41" fillId="0" fontId="24" numFmtId="0" xfId="0" applyAlignment="1" applyBorder="1" applyFont="1">
      <alignment horizontal="center" vertical="center"/>
    </xf>
    <xf borderId="67" fillId="0" fontId="21" numFmtId="0" xfId="0" applyBorder="1" applyFont="1"/>
    <xf borderId="39" fillId="0" fontId="17" numFmtId="0" xfId="0" applyBorder="1" applyFont="1"/>
    <xf borderId="41" fillId="0" fontId="17" numFmtId="0" xfId="0" applyBorder="1" applyFont="1"/>
    <xf borderId="60" fillId="0" fontId="17" numFmtId="0" xfId="0" applyBorder="1" applyFont="1"/>
    <xf borderId="40" fillId="0" fontId="20" numFmtId="0" xfId="0" applyAlignment="1" applyBorder="1" applyFont="1">
      <alignment horizontal="center"/>
    </xf>
    <xf borderId="40" fillId="0" fontId="26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/>
    </xf>
    <xf borderId="0" fillId="0" fontId="35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5" numFmtId="0" xfId="0" applyFont="1"/>
    <xf borderId="0" fillId="0" fontId="10" numFmtId="0" xfId="0" applyFont="1"/>
    <xf borderId="68" fillId="0" fontId="1" numFmtId="0" xfId="0" applyBorder="1" applyFont="1"/>
    <xf borderId="6" fillId="0" fontId="37" numFmtId="0" xfId="0" applyAlignment="1" applyBorder="1" applyFont="1">
      <alignment horizontal="center" vertical="center"/>
    </xf>
    <xf borderId="6" fillId="0" fontId="38" numFmtId="0" xfId="0" applyAlignment="1" applyBorder="1" applyFont="1">
      <alignment horizontal="center" vertical="center"/>
    </xf>
    <xf borderId="68" fillId="0" fontId="39" numFmtId="0" xfId="0" applyBorder="1" applyFont="1"/>
    <xf borderId="0" fillId="0" fontId="39" numFmtId="0" xfId="0" applyFont="1"/>
    <xf borderId="10" fillId="0" fontId="11" numFmtId="0" xfId="0" applyAlignment="1" applyBorder="1" applyFont="1">
      <alignment horizontal="center" vertical="center"/>
    </xf>
    <xf borderId="11" fillId="3" fontId="4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quotePrefix="1" borderId="11" fillId="3" fontId="41" numFmtId="0" xfId="0" applyAlignment="1" applyBorder="1" applyFont="1">
      <alignment horizontal="center" vertical="center"/>
    </xf>
    <xf quotePrefix="1" borderId="11" fillId="0" fontId="38" numFmtId="0" xfId="0" applyAlignment="1" applyBorder="1" applyFont="1">
      <alignment horizontal="center" vertical="center"/>
    </xf>
    <xf borderId="11" fillId="0" fontId="38" numFmtId="0" xfId="0" applyAlignment="1" applyBorder="1" applyFont="1">
      <alignment horizontal="center" vertical="center"/>
    </xf>
    <xf borderId="11" fillId="3" fontId="41" numFmtId="0" xfId="0" applyAlignment="1" applyBorder="1" applyFont="1">
      <alignment horizontal="center" vertical="center"/>
    </xf>
    <xf borderId="68" fillId="0" fontId="10" numFmtId="0" xfId="0" applyBorder="1" applyFont="1"/>
    <xf borderId="0" fillId="0" fontId="34" numFmtId="0" xfId="0" applyAlignment="1" applyFont="1">
      <alignment horizontal="center" vertical="center"/>
    </xf>
    <xf borderId="69" fillId="4" fontId="42" numFmtId="0" xfId="0" applyAlignment="1" applyBorder="1" applyFont="1">
      <alignment horizontal="center" vertical="center"/>
    </xf>
    <xf borderId="69" fillId="5" fontId="43" numFmtId="0" xfId="0" applyAlignment="1" applyBorder="1" applyFill="1" applyFont="1">
      <alignment horizontal="center" vertical="center"/>
    </xf>
    <xf borderId="69" fillId="6" fontId="25" numFmtId="0" xfId="0" applyAlignment="1" applyBorder="1" applyFill="1" applyFont="1">
      <alignment horizontal="center" vertical="center"/>
    </xf>
    <xf borderId="69" fillId="7" fontId="44" numFmtId="0" xfId="0" applyAlignment="1" applyBorder="1" applyFill="1" applyFont="1">
      <alignment horizontal="center" vertical="center"/>
    </xf>
    <xf borderId="0" fillId="0" fontId="34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36" fillId="4" fontId="17" numFmtId="0" xfId="0" applyAlignment="1" applyBorder="1" applyFont="1">
      <alignment horizontal="center" vertical="center"/>
    </xf>
    <xf borderId="37" fillId="4" fontId="17" numFmtId="0" xfId="0" applyAlignment="1" applyBorder="1" applyFont="1">
      <alignment horizontal="center" vertical="center"/>
    </xf>
    <xf quotePrefix="1" borderId="46" fillId="4" fontId="17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6" fillId="0" fontId="47" numFmtId="0" xfId="0" applyAlignment="1" applyBorder="1" applyFont="1">
      <alignment horizontal="center" readingOrder="0" vertical="center"/>
    </xf>
    <xf borderId="54" fillId="0" fontId="48" numFmtId="0" xfId="0" applyAlignment="1" applyBorder="1" applyFont="1">
      <alignment horizontal="center" vertical="center"/>
    </xf>
    <xf borderId="9" fillId="0" fontId="48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40" fillId="0" fontId="15" numFmtId="0" xfId="0" applyAlignment="1" applyBorder="1" applyFont="1">
      <alignment vertical="center"/>
    </xf>
    <xf borderId="67" fillId="0" fontId="40" numFmtId="0" xfId="0" applyAlignment="1" applyBorder="1" applyFont="1">
      <alignment vertical="center"/>
    </xf>
    <xf borderId="67" fillId="0" fontId="15" numFmtId="0" xfId="0" applyAlignment="1" applyBorder="1" applyFont="1">
      <alignment vertical="center"/>
    </xf>
    <xf borderId="70" fillId="0" fontId="15" numFmtId="0" xfId="0" applyAlignment="1" applyBorder="1" applyFont="1">
      <alignment vertical="center"/>
    </xf>
    <xf borderId="10" fillId="0" fontId="49" numFmtId="0" xfId="0" applyAlignment="1" applyBorder="1" applyFont="1">
      <alignment horizontal="center" vertical="center"/>
    </xf>
    <xf borderId="11" fillId="0" fontId="49" numFmtId="0" xfId="0" applyAlignment="1" applyBorder="1" applyFont="1">
      <alignment horizontal="center" vertical="center"/>
    </xf>
    <xf borderId="40" fillId="0" fontId="49" numFmtId="0" xfId="0" applyAlignment="1" applyBorder="1" applyFont="1">
      <alignment horizontal="center" vertical="center"/>
    </xf>
    <xf borderId="71" fillId="0" fontId="49" numFmtId="0" xfId="0" applyAlignment="1" applyBorder="1" applyFont="1">
      <alignment horizontal="center" vertical="center"/>
    </xf>
    <xf borderId="72" fillId="0" fontId="17" numFmtId="0" xfId="0" applyAlignment="1" applyBorder="1" applyFont="1">
      <alignment horizontal="center" vertical="center"/>
    </xf>
    <xf borderId="43" fillId="0" fontId="17" numFmtId="0" xfId="0" applyAlignment="1" applyBorder="1" applyFont="1">
      <alignment horizontal="center" vertical="center"/>
    </xf>
    <xf quotePrefix="1" borderId="48" fillId="0" fontId="17" numFmtId="0" xfId="0" applyAlignment="1" applyBorder="1" applyFont="1">
      <alignment horizontal="center" vertical="center"/>
    </xf>
    <xf borderId="57" fillId="0" fontId="15" numFmtId="0" xfId="0" applyAlignment="1" applyBorder="1" applyFont="1">
      <alignment horizontal="center" vertical="center"/>
    </xf>
    <xf borderId="54" fillId="0" fontId="15" numFmtId="0" xfId="0" applyAlignment="1" applyBorder="1" applyFont="1">
      <alignment horizontal="center" vertical="center"/>
    </xf>
    <xf borderId="54" fillId="0" fontId="50" numFmtId="0" xfId="0" applyAlignment="1" applyBorder="1" applyFont="1">
      <alignment horizontal="center" vertical="center"/>
    </xf>
    <xf borderId="58" fillId="0" fontId="15" numFmtId="0" xfId="0" applyAlignment="1" applyBorder="1" applyFont="1">
      <alignment horizontal="center" vertical="center"/>
    </xf>
    <xf borderId="57" fillId="0" fontId="48" numFmtId="0" xfId="0" applyAlignment="1" applyBorder="1" applyFon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34" fillId="0" fontId="30" numFmtId="0" xfId="0" applyAlignment="1" applyBorder="1" applyFont="1">
      <alignment horizontal="center" vertical="center"/>
    </xf>
    <xf borderId="71" fillId="0" fontId="3" numFmtId="0" xfId="0" applyBorder="1" applyFont="1"/>
    <xf borderId="34" fillId="0" fontId="47" numFmtId="0" xfId="0" applyAlignment="1" applyBorder="1" applyFont="1">
      <alignment horizontal="center" readingOrder="0" vertical="center"/>
    </xf>
    <xf borderId="14" fillId="0" fontId="3" numFmtId="0" xfId="0" applyBorder="1" applyFont="1"/>
    <xf borderId="11" fillId="0" fontId="49" numFmtId="0" xfId="0" applyAlignment="1" applyBorder="1" applyFont="1">
      <alignment horizontal="center" readingOrder="0" vertical="center"/>
    </xf>
    <xf borderId="54" fillId="0" fontId="51" numFmtId="0" xfId="0" applyAlignment="1" applyBorder="1" applyFont="1">
      <alignment horizontal="center" vertical="center"/>
    </xf>
    <xf borderId="57" fillId="0" fontId="51" numFmtId="0" xfId="0" applyAlignment="1" applyBorder="1" applyFont="1">
      <alignment horizontal="center" vertical="center"/>
    </xf>
    <xf borderId="10" fillId="0" fontId="49" numFmtId="0" xfId="0" applyAlignment="1" applyBorder="1" applyFont="1">
      <alignment horizontal="center" readingOrder="0" vertical="center"/>
    </xf>
    <xf borderId="11" fillId="0" fontId="52" numFmtId="0" xfId="0" applyAlignment="1" applyBorder="1" applyFont="1">
      <alignment horizontal="center" readingOrder="0" vertical="center"/>
    </xf>
    <xf borderId="58" fillId="0" fontId="48" numFmtId="0" xfId="0" applyAlignment="1" applyBorder="1" applyFont="1">
      <alignment horizontal="center" vertical="center"/>
    </xf>
    <xf borderId="40" fillId="0" fontId="49" numFmtId="0" xfId="0" applyAlignment="1" applyBorder="1" applyFont="1">
      <alignment horizontal="center" readingOrder="0" vertical="center"/>
    </xf>
    <xf borderId="54" fillId="0" fontId="48" numFmtId="0" xfId="0" applyAlignment="1" applyBorder="1" applyFont="1">
      <alignment horizontal="center" readingOrder="0" vertical="center"/>
    </xf>
    <xf borderId="43" fillId="0" fontId="17" numFmtId="0" xfId="0" applyAlignment="1" applyBorder="1" applyFont="1">
      <alignment horizontal="center" shrinkToFit="0" vertical="center" wrapText="1"/>
    </xf>
    <xf borderId="12" fillId="0" fontId="49" numFmtId="0" xfId="0" applyAlignment="1" applyBorder="1" applyFont="1">
      <alignment horizontal="center" readingOrder="0" vertical="center"/>
    </xf>
    <xf borderId="37" fillId="4" fontId="17" numFmtId="0" xfId="0" applyAlignment="1" applyBorder="1" applyFont="1">
      <alignment horizontal="center" shrinkToFit="0" vertical="center" wrapText="1"/>
    </xf>
    <xf borderId="6" fillId="0" fontId="48" numFmtId="0" xfId="0" applyAlignment="1" applyBorder="1" applyFont="1">
      <alignment horizontal="center" vertical="center"/>
    </xf>
    <xf borderId="0" fillId="0" fontId="45" numFmtId="2" xfId="0" applyAlignment="1" applyFont="1" applyNumberFormat="1">
      <alignment horizontal="center" vertical="center"/>
    </xf>
    <xf borderId="48" fillId="0" fontId="17" numFmtId="0" xfId="0" applyAlignment="1" applyBorder="1" applyFont="1">
      <alignment horizontal="center" vertical="center"/>
    </xf>
    <xf borderId="46" fillId="4" fontId="17" numFmtId="0" xfId="0" applyAlignment="1" applyBorder="1" applyFont="1">
      <alignment horizontal="center" vertical="center"/>
    </xf>
    <xf borderId="46" fillId="0" fontId="17" numFmtId="0" xfId="0" applyAlignment="1" applyBorder="1" applyFont="1">
      <alignment horizontal="center" vertical="center"/>
    </xf>
    <xf borderId="9" fillId="0" fontId="17" numFmtId="0" xfId="0" applyAlignment="1" applyBorder="1" applyFont="1">
      <alignment horizontal="center" vertical="center"/>
    </xf>
    <xf borderId="67" fillId="0" fontId="53" numFmtId="0" xfId="0" applyAlignment="1" applyBorder="1" applyFont="1">
      <alignment horizontal="center" vertical="center"/>
    </xf>
    <xf borderId="70" fillId="0" fontId="54" numFmtId="0" xfId="0" applyAlignment="1" applyBorder="1" applyFont="1">
      <alignment horizontal="center" vertical="center"/>
    </xf>
    <xf borderId="0" fillId="0" fontId="28" numFmtId="0" xfId="0" applyFont="1"/>
    <xf borderId="73" fillId="4" fontId="55" numFmtId="0" xfId="0" applyAlignment="1" applyBorder="1" applyFont="1">
      <alignment horizontal="center" vertical="center"/>
    </xf>
    <xf borderId="74" fillId="0" fontId="3" numFmtId="0" xfId="0" applyBorder="1" applyFont="1"/>
    <xf borderId="75" fillId="4" fontId="55" numFmtId="0" xfId="0" applyAlignment="1" applyBorder="1" applyFont="1">
      <alignment horizontal="center" vertical="center"/>
    </xf>
    <xf borderId="56" fillId="0" fontId="10" numFmtId="0" xfId="0" applyBorder="1" applyFont="1"/>
    <xf borderId="22" fillId="5" fontId="56" numFmtId="0" xfId="0" applyAlignment="1" applyBorder="1" applyFont="1">
      <alignment horizontal="center" vertical="center"/>
    </xf>
    <xf borderId="76" fillId="0" fontId="3" numFmtId="0" xfId="0" applyBorder="1" applyFont="1"/>
    <xf borderId="77" fillId="5" fontId="56" numFmtId="0" xfId="0" applyAlignment="1" applyBorder="1" applyFont="1">
      <alignment horizontal="center" vertical="center"/>
    </xf>
    <xf borderId="78" fillId="0" fontId="10" numFmtId="0" xfId="0" applyBorder="1" applyFont="1"/>
    <xf borderId="79" fillId="6" fontId="34" numFmtId="0" xfId="0" applyAlignment="1" applyBorder="1" applyFont="1">
      <alignment horizontal="center" vertical="center"/>
    </xf>
    <xf borderId="80" fillId="0" fontId="3" numFmtId="0" xfId="0" applyBorder="1" applyFont="1"/>
    <xf borderId="81" fillId="6" fontId="34" numFmtId="0" xfId="0" applyAlignment="1" applyBorder="1" applyFont="1">
      <alignment horizontal="center" vertical="center"/>
    </xf>
    <xf borderId="44" fillId="0" fontId="10" numFmtId="0" xfId="0" applyBorder="1" applyFont="1"/>
    <xf borderId="0" fillId="0" fontId="57" numFmtId="0" xfId="0" applyAlignment="1" applyFont="1">
      <alignment horizontal="center" vertical="center"/>
    </xf>
    <xf borderId="0" fillId="0" fontId="57" numFmtId="0" xfId="0" applyAlignment="1" applyFont="1">
      <alignment horizontal="center"/>
    </xf>
    <xf borderId="0" fillId="0" fontId="57" numFmtId="0" xfId="0" applyFont="1"/>
    <xf borderId="36" fillId="0" fontId="57" numFmtId="0" xfId="0" applyAlignment="1" applyBorder="1" applyFont="1">
      <alignment horizontal="center" vertical="center"/>
    </xf>
    <xf borderId="37" fillId="0" fontId="57" numFmtId="0" xfId="0" applyAlignment="1" applyBorder="1" applyFont="1">
      <alignment horizontal="center" vertical="center"/>
    </xf>
    <xf borderId="46" fillId="0" fontId="57" numFmtId="0" xfId="0" applyAlignment="1" applyBorder="1" applyFont="1">
      <alignment horizontal="center" vertical="center"/>
    </xf>
    <xf borderId="36" fillId="4" fontId="58" numFmtId="0" xfId="0" applyAlignment="1" applyBorder="1" applyFont="1">
      <alignment horizontal="center" vertical="center"/>
    </xf>
    <xf borderId="37" fillId="4" fontId="58" numFmtId="0" xfId="0" applyAlignment="1" applyBorder="1" applyFont="1">
      <alignment horizontal="center" vertical="center"/>
    </xf>
    <xf quotePrefix="1" borderId="46" fillId="4" fontId="58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21" fillId="0" fontId="3" numFmtId="0" xfId="0" applyBorder="1" applyFont="1"/>
    <xf borderId="36" fillId="0" fontId="58" numFmtId="0" xfId="0" applyAlignment="1" applyBorder="1" applyFont="1">
      <alignment horizontal="center" vertical="center"/>
    </xf>
    <xf borderId="37" fillId="0" fontId="58" numFmtId="0" xfId="0" applyAlignment="1" applyBorder="1" applyFont="1">
      <alignment horizontal="center" vertical="center"/>
    </xf>
    <xf quotePrefix="1" borderId="46" fillId="0" fontId="58" numFmtId="0" xfId="0" applyAlignment="1" applyBorder="1" applyFont="1">
      <alignment horizontal="center" vertical="center"/>
    </xf>
    <xf borderId="0" fillId="0" fontId="58" numFmtId="0" xfId="0" applyAlignment="1" applyFont="1">
      <alignment horizontal="center" vertical="center"/>
    </xf>
    <xf quotePrefix="1" borderId="0" fillId="0" fontId="58" numFmtId="0" xfId="0" applyAlignment="1" applyFont="1">
      <alignment horizontal="center" vertical="center"/>
    </xf>
    <xf quotePrefix="1" borderId="0" fillId="0" fontId="59" numFmtId="0" xfId="0" applyAlignment="1" applyFont="1">
      <alignment horizontal="center" shrinkToFit="0" vertical="center" wrapText="1"/>
    </xf>
    <xf borderId="72" fillId="0" fontId="58" numFmtId="0" xfId="0" applyAlignment="1" applyBorder="1" applyFont="1">
      <alignment horizontal="center" vertical="center"/>
    </xf>
    <xf borderId="43" fillId="0" fontId="58" numFmtId="0" xfId="0" applyAlignment="1" applyBorder="1" applyFont="1">
      <alignment horizontal="center" vertical="center"/>
    </xf>
    <xf quotePrefix="1" borderId="48" fillId="0" fontId="58" numFmtId="0" xfId="0" applyAlignment="1" applyBorder="1" applyFont="1">
      <alignment horizontal="center" vertical="center"/>
    </xf>
    <xf borderId="0" fillId="0" fontId="6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vertical="center"/>
    </xf>
    <xf borderId="48" fillId="0" fontId="58" numFmtId="0" xfId="0" applyAlignment="1" applyBorder="1" applyFont="1">
      <alignment horizontal="center" vertical="center"/>
    </xf>
    <xf borderId="82" fillId="0" fontId="58" numFmtId="0" xfId="0" applyAlignment="1" applyBorder="1" applyFont="1">
      <alignment horizontal="center"/>
    </xf>
    <xf borderId="50" fillId="0" fontId="58" numFmtId="0" xfId="0" applyAlignment="1" applyBorder="1" applyFont="1">
      <alignment horizontal="center" vertical="center"/>
    </xf>
    <xf quotePrefix="1" borderId="83" fillId="0" fontId="58" numFmtId="0" xfId="0" applyAlignment="1" applyBorder="1" applyFont="1">
      <alignment horizontal="center" vertical="center"/>
    </xf>
  </cellXfs>
  <cellStyles count="1">
    <cellStyle xfId="0" name="Normal" builtinId="0"/>
  </cellStyles>
  <dxfs count="14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theme="4"/>
      </font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i/>
        <color rgb="FFFF0000"/>
      </font>
      <fill>
        <patternFill patternType="none"/>
      </fill>
      <border/>
    </dxf>
    <dxf>
      <font>
        <b/>
        <color rgb="FF0070C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color rgb="FF548135"/>
      </font>
      <fill>
        <patternFill patternType="solid">
          <fgColor rgb="FFC5E0B3"/>
          <bgColor rgb="FFC5E0B3"/>
        </patternFill>
      </fill>
      <border/>
    </dxf>
    <dxf>
      <font>
        <color rgb="FFFF0000"/>
      </font>
      <fill>
        <patternFill patternType="solid">
          <fgColor rgb="FFF7CAAC"/>
          <bgColor rgb="FFF7CAAC"/>
        </patternFill>
      </fill>
      <border/>
    </dxf>
    <dxf>
      <font>
        <color rgb="FF0070C0"/>
      </font>
      <fill>
        <patternFill patternType="solid">
          <fgColor rgb="FFFFE598"/>
          <bgColor rgb="FFFFE598"/>
        </patternFill>
      </fill>
      <border/>
    </dxf>
    <dxf>
      <font>
        <color rgb="FF0070C0"/>
      </font>
      <fill>
        <patternFill patternType="solid">
          <fgColor rgb="FFBDD6EE"/>
          <bgColor rgb="FFBDD6EE"/>
        </patternFill>
      </fill>
      <border/>
    </dxf>
    <dxf>
      <font>
        <b/>
        <color rgb="FFFF0000"/>
      </font>
      <fill>
        <patternFill patternType="solid">
          <fgColor rgb="FF92D050"/>
          <bgColor rgb="FF92D050"/>
        </patternFill>
      </fill>
      <border/>
    </dxf>
    <dxf>
      <font>
        <b/>
        <color rgb="FFFF0000"/>
      </font>
      <fill>
        <patternFill patternType="solid">
          <fgColor rgb="FF00B050"/>
          <bgColor rgb="FF00B050"/>
        </patternFill>
      </fill>
      <border/>
    </dxf>
    <dxf>
      <font>
        <i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" cy="1647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381125" cy="1238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0</xdr:row>
      <xdr:rowOff>0</xdr:rowOff>
    </xdr:from>
    <xdr:ext cx="571500" cy="2571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.14"/>
    <col customWidth="1" min="2" max="25" width="3.0"/>
    <col customWidth="1" min="26" max="26" width="12.57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5"/>
      <c r="W1" s="6"/>
      <c r="X1" s="6"/>
      <c r="Y1" s="7"/>
      <c r="Z1" s="8"/>
    </row>
    <row r="2" ht="15.75" customHeight="1">
      <c r="B2" s="9" t="s">
        <v>1</v>
      </c>
      <c r="C2" s="10"/>
      <c r="D2" s="10"/>
      <c r="E2" s="11"/>
      <c r="F2" s="12" t="s">
        <v>2</v>
      </c>
      <c r="G2" s="10"/>
      <c r="H2" s="10"/>
      <c r="I2" s="13"/>
      <c r="J2" s="9" t="s">
        <v>3</v>
      </c>
      <c r="K2" s="10"/>
      <c r="L2" s="10"/>
      <c r="M2" s="13"/>
      <c r="N2" s="12" t="s">
        <v>4</v>
      </c>
      <c r="O2" s="10"/>
      <c r="P2" s="10"/>
      <c r="Q2" s="13"/>
      <c r="R2" s="14" t="s">
        <v>5</v>
      </c>
      <c r="S2" s="10"/>
      <c r="T2" s="10"/>
      <c r="U2" s="11"/>
      <c r="V2" s="12" t="s">
        <v>6</v>
      </c>
      <c r="W2" s="10"/>
      <c r="X2" s="10"/>
      <c r="Y2" s="13"/>
      <c r="Z2" s="15"/>
    </row>
    <row r="3" ht="15.75" customHeight="1">
      <c r="B3" s="16" t="s">
        <v>7</v>
      </c>
      <c r="C3" s="17" t="s">
        <v>8</v>
      </c>
      <c r="D3" s="17" t="s">
        <v>9</v>
      </c>
      <c r="E3" s="18" t="s">
        <v>10</v>
      </c>
      <c r="F3" s="19" t="s">
        <v>7</v>
      </c>
      <c r="G3" s="20" t="s">
        <v>8</v>
      </c>
      <c r="H3" s="20" t="s">
        <v>9</v>
      </c>
      <c r="I3" s="21" t="s">
        <v>10</v>
      </c>
      <c r="J3" s="16" t="s">
        <v>7</v>
      </c>
      <c r="K3" s="17" t="s">
        <v>8</v>
      </c>
      <c r="L3" s="17" t="s">
        <v>9</v>
      </c>
      <c r="M3" s="22" t="s">
        <v>10</v>
      </c>
      <c r="N3" s="19" t="s">
        <v>7</v>
      </c>
      <c r="O3" s="20" t="s">
        <v>8</v>
      </c>
      <c r="P3" s="20" t="s">
        <v>9</v>
      </c>
      <c r="Q3" s="21" t="s">
        <v>10</v>
      </c>
      <c r="R3" s="23" t="s">
        <v>7</v>
      </c>
      <c r="S3" s="17" t="s">
        <v>8</v>
      </c>
      <c r="T3" s="17" t="s">
        <v>9</v>
      </c>
      <c r="U3" s="18" t="s">
        <v>10</v>
      </c>
      <c r="V3" s="19" t="s">
        <v>7</v>
      </c>
      <c r="W3" s="20" t="s">
        <v>8</v>
      </c>
      <c r="X3" s="20" t="s">
        <v>9</v>
      </c>
      <c r="Y3" s="21" t="s">
        <v>10</v>
      </c>
      <c r="Z3" s="24"/>
    </row>
    <row r="4" ht="15.75" customHeight="1">
      <c r="A4" s="25" t="s">
        <v>11</v>
      </c>
      <c r="B4" s="26"/>
      <c r="C4" s="27"/>
      <c r="D4" s="27"/>
      <c r="E4" s="28"/>
      <c r="F4" s="29" t="s">
        <v>12</v>
      </c>
      <c r="G4" s="30" t="s">
        <v>12</v>
      </c>
      <c r="H4" s="30" t="s">
        <v>13</v>
      </c>
      <c r="I4" s="31" t="s">
        <v>12</v>
      </c>
      <c r="J4" s="26" t="s">
        <v>12</v>
      </c>
      <c r="K4" s="27" t="s">
        <v>12</v>
      </c>
      <c r="L4" s="27" t="s">
        <v>12</v>
      </c>
      <c r="M4" s="32" t="s">
        <v>12</v>
      </c>
      <c r="N4" s="33" t="s">
        <v>14</v>
      </c>
      <c r="O4" s="11"/>
      <c r="P4" s="30" t="s">
        <v>13</v>
      </c>
      <c r="Q4" s="31" t="s">
        <v>12</v>
      </c>
      <c r="R4" s="34" t="s">
        <v>15</v>
      </c>
      <c r="S4" s="10"/>
      <c r="T4" s="10"/>
      <c r="U4" s="10"/>
      <c r="V4" s="35" t="s">
        <v>15</v>
      </c>
      <c r="W4" s="10"/>
      <c r="X4" s="10"/>
      <c r="Y4" s="13"/>
    </row>
    <row r="5" ht="15.75" customHeight="1">
      <c r="A5" s="36" t="s">
        <v>16</v>
      </c>
      <c r="B5" s="37"/>
      <c r="C5" s="38"/>
      <c r="D5" s="38"/>
      <c r="E5" s="39"/>
      <c r="F5" s="40">
        <v>2.0</v>
      </c>
      <c r="G5" s="41">
        <v>2.0</v>
      </c>
      <c r="H5" s="41" t="s">
        <v>17</v>
      </c>
      <c r="I5" s="42" t="s">
        <v>17</v>
      </c>
      <c r="J5" s="37">
        <v>1.0</v>
      </c>
      <c r="K5" s="38" t="s">
        <v>12</v>
      </c>
      <c r="L5" s="38">
        <v>2.0</v>
      </c>
      <c r="M5" s="43">
        <v>2.0</v>
      </c>
      <c r="N5" s="44" t="s">
        <v>18</v>
      </c>
      <c r="O5" s="45"/>
      <c r="P5" s="41" t="s">
        <v>17</v>
      </c>
      <c r="Q5" s="42" t="s">
        <v>17</v>
      </c>
      <c r="R5" s="46" t="s">
        <v>18</v>
      </c>
      <c r="S5" s="47"/>
      <c r="T5" s="47"/>
      <c r="U5" s="47"/>
      <c r="V5" s="48" t="s">
        <v>18</v>
      </c>
      <c r="W5" s="49"/>
      <c r="X5" s="49"/>
      <c r="Y5" s="50"/>
    </row>
    <row r="6" ht="15.75" customHeight="1">
      <c r="A6" s="36" t="s">
        <v>19</v>
      </c>
      <c r="B6" s="37"/>
      <c r="C6" s="38"/>
      <c r="D6" s="38"/>
      <c r="E6" s="39"/>
      <c r="F6" s="40" t="s">
        <v>17</v>
      </c>
      <c r="G6" s="41" t="s">
        <v>17</v>
      </c>
      <c r="H6" s="41">
        <v>1.0</v>
      </c>
      <c r="I6" s="42">
        <v>1.0</v>
      </c>
      <c r="J6" s="37">
        <v>2.0</v>
      </c>
      <c r="K6" s="38">
        <v>2.0</v>
      </c>
      <c r="L6" s="38" t="s">
        <v>17</v>
      </c>
      <c r="M6" s="43" t="s">
        <v>17</v>
      </c>
      <c r="N6" s="40">
        <v>3.0</v>
      </c>
      <c r="O6" s="41">
        <v>3.0</v>
      </c>
      <c r="P6" s="41">
        <v>2.0</v>
      </c>
      <c r="Q6" s="42">
        <v>2.0</v>
      </c>
      <c r="R6" s="51" t="s">
        <v>17</v>
      </c>
      <c r="S6" s="38" t="s">
        <v>17</v>
      </c>
      <c r="T6" s="38">
        <v>2.0</v>
      </c>
      <c r="U6" s="39">
        <v>3.0</v>
      </c>
      <c r="V6" s="40"/>
      <c r="W6" s="41"/>
      <c r="X6" s="41"/>
      <c r="Y6" s="42"/>
    </row>
    <row r="7" ht="15.75" customHeight="1">
      <c r="A7" s="36" t="s">
        <v>20</v>
      </c>
      <c r="B7" s="37"/>
      <c r="C7" s="38"/>
      <c r="D7" s="38"/>
      <c r="E7" s="39"/>
      <c r="F7" s="40">
        <v>1.0</v>
      </c>
      <c r="G7" s="41">
        <v>1.0</v>
      </c>
      <c r="H7" s="41" t="s">
        <v>17</v>
      </c>
      <c r="I7" s="42" t="s">
        <v>17</v>
      </c>
      <c r="J7" s="37">
        <v>1.0</v>
      </c>
      <c r="K7" s="38">
        <v>1.0</v>
      </c>
      <c r="L7" s="38">
        <v>3.0</v>
      </c>
      <c r="M7" s="43">
        <v>3.0</v>
      </c>
      <c r="N7" s="40" t="s">
        <v>17</v>
      </c>
      <c r="O7" s="52" t="s">
        <v>21</v>
      </c>
      <c r="P7" s="41">
        <v>1.0</v>
      </c>
      <c r="Q7" s="42">
        <v>1.0</v>
      </c>
      <c r="R7" s="51" t="s">
        <v>12</v>
      </c>
      <c r="S7" s="38">
        <v>1.0</v>
      </c>
      <c r="T7" s="38" t="s">
        <v>12</v>
      </c>
      <c r="U7" s="39" t="s">
        <v>12</v>
      </c>
      <c r="V7" s="40"/>
      <c r="W7" s="52"/>
      <c r="X7" s="41"/>
      <c r="Y7" s="42"/>
    </row>
    <row r="8" ht="15.75" customHeight="1">
      <c r="A8" s="36" t="s">
        <v>22</v>
      </c>
      <c r="B8" s="37"/>
      <c r="C8" s="38"/>
      <c r="D8" s="38"/>
      <c r="E8" s="39"/>
      <c r="F8" s="40" t="s">
        <v>12</v>
      </c>
      <c r="G8" s="41">
        <v>3.0</v>
      </c>
      <c r="H8" s="41">
        <v>3.0</v>
      </c>
      <c r="I8" s="42" t="s">
        <v>12</v>
      </c>
      <c r="J8" s="37" t="s">
        <v>17</v>
      </c>
      <c r="K8" s="38" t="s">
        <v>17</v>
      </c>
      <c r="L8" s="38">
        <v>1.0</v>
      </c>
      <c r="M8" s="43">
        <v>1.0</v>
      </c>
      <c r="N8" s="40" t="s">
        <v>17</v>
      </c>
      <c r="O8" s="41" t="s">
        <v>17</v>
      </c>
      <c r="P8" s="41" t="s">
        <v>17</v>
      </c>
      <c r="Q8" s="42" t="s">
        <v>17</v>
      </c>
      <c r="R8" s="51">
        <v>3.0</v>
      </c>
      <c r="S8" s="38">
        <v>3.0</v>
      </c>
      <c r="T8" s="38">
        <v>3.0</v>
      </c>
      <c r="U8" s="39">
        <v>3.0</v>
      </c>
      <c r="V8" s="40"/>
      <c r="W8" s="41"/>
      <c r="X8" s="41"/>
      <c r="Y8" s="42"/>
    </row>
    <row r="9" ht="15.75" customHeight="1">
      <c r="A9" s="36" t="s">
        <v>23</v>
      </c>
      <c r="B9" s="37"/>
      <c r="C9" s="38"/>
      <c r="D9" s="38"/>
      <c r="E9" s="39"/>
      <c r="F9" s="40" t="s">
        <v>17</v>
      </c>
      <c r="G9" s="41" t="s">
        <v>17</v>
      </c>
      <c r="H9" s="41">
        <v>1.0</v>
      </c>
      <c r="I9" s="42">
        <v>1.0</v>
      </c>
      <c r="J9" s="37">
        <v>3.0</v>
      </c>
      <c r="K9" s="38">
        <v>3.0</v>
      </c>
      <c r="L9" s="38" t="s">
        <v>17</v>
      </c>
      <c r="M9" s="43" t="s">
        <v>17</v>
      </c>
      <c r="N9" s="40">
        <v>2.0</v>
      </c>
      <c r="O9" s="41">
        <v>2.0</v>
      </c>
      <c r="P9" s="41" t="s">
        <v>17</v>
      </c>
      <c r="Q9" s="42" t="s">
        <v>17</v>
      </c>
      <c r="R9" s="51" t="s">
        <v>17</v>
      </c>
      <c r="S9" s="38" t="s">
        <v>17</v>
      </c>
      <c r="T9" s="38">
        <v>3.0</v>
      </c>
      <c r="U9" s="39" t="s">
        <v>12</v>
      </c>
      <c r="V9" s="40"/>
      <c r="W9" s="41"/>
      <c r="X9" s="41"/>
      <c r="Y9" s="42"/>
    </row>
    <row r="10" ht="15.75" customHeight="1">
      <c r="A10" s="36" t="s">
        <v>24</v>
      </c>
      <c r="B10" s="37"/>
      <c r="C10" s="38"/>
      <c r="D10" s="38"/>
      <c r="E10" s="39"/>
      <c r="F10" s="40"/>
      <c r="G10" s="41"/>
      <c r="H10" s="41"/>
      <c r="I10" s="42"/>
      <c r="J10" s="37">
        <v>2.0</v>
      </c>
      <c r="K10" s="38">
        <v>2.0</v>
      </c>
      <c r="L10" s="38" t="s">
        <v>12</v>
      </c>
      <c r="M10" s="43" t="s">
        <v>12</v>
      </c>
      <c r="N10" s="40">
        <v>3.0</v>
      </c>
      <c r="O10" s="41" t="s">
        <v>12</v>
      </c>
      <c r="P10" s="41">
        <v>2.0</v>
      </c>
      <c r="Q10" s="42">
        <v>2.0</v>
      </c>
      <c r="R10" s="51">
        <v>1.0</v>
      </c>
      <c r="S10" s="38">
        <v>2.0</v>
      </c>
      <c r="T10" s="38" t="s">
        <v>12</v>
      </c>
      <c r="U10" s="39" t="s">
        <v>12</v>
      </c>
      <c r="V10" s="40"/>
      <c r="W10" s="41"/>
      <c r="X10" s="41"/>
      <c r="Y10" s="42"/>
    </row>
    <row r="11" ht="15.75" customHeight="1">
      <c r="A11" s="36" t="s">
        <v>25</v>
      </c>
      <c r="B11" s="37"/>
      <c r="C11" s="38"/>
      <c r="D11" s="38"/>
      <c r="E11" s="39"/>
      <c r="F11" s="40"/>
      <c r="G11" s="41"/>
      <c r="H11" s="41"/>
      <c r="I11" s="42"/>
      <c r="J11" s="37">
        <v>3.0</v>
      </c>
      <c r="K11" s="38">
        <v>3.0</v>
      </c>
      <c r="L11" s="38" t="s">
        <v>12</v>
      </c>
      <c r="M11" s="43" t="s">
        <v>12</v>
      </c>
      <c r="N11" s="40">
        <v>1.0</v>
      </c>
      <c r="O11" s="41">
        <v>1.0</v>
      </c>
      <c r="P11" s="41">
        <v>3.0</v>
      </c>
      <c r="Q11" s="42">
        <v>3.0</v>
      </c>
      <c r="R11" s="51" t="s">
        <v>17</v>
      </c>
      <c r="S11" s="38" t="s">
        <v>17</v>
      </c>
      <c r="T11" s="38">
        <v>1.0</v>
      </c>
      <c r="U11" s="39">
        <v>2.0</v>
      </c>
      <c r="V11" s="40"/>
      <c r="W11" s="41"/>
      <c r="X11" s="41"/>
      <c r="Y11" s="42"/>
    </row>
    <row r="12" ht="15.75" customHeight="1">
      <c r="A12" s="36" t="s">
        <v>26</v>
      </c>
      <c r="B12" s="37"/>
      <c r="C12" s="38"/>
      <c r="D12" s="38"/>
      <c r="E12" s="39"/>
      <c r="F12" s="40"/>
      <c r="G12" s="41"/>
      <c r="H12" s="41"/>
      <c r="I12" s="42"/>
      <c r="J12" s="37"/>
      <c r="K12" s="38"/>
      <c r="L12" s="38"/>
      <c r="M12" s="43"/>
      <c r="N12" s="40"/>
      <c r="O12" s="41"/>
      <c r="P12" s="41"/>
      <c r="Q12" s="42"/>
      <c r="R12" s="51" t="s">
        <v>12</v>
      </c>
      <c r="S12" s="38" t="s">
        <v>12</v>
      </c>
      <c r="T12" s="38">
        <v>3.0</v>
      </c>
      <c r="U12" s="39">
        <v>3.0</v>
      </c>
      <c r="V12" s="40"/>
      <c r="W12" s="41"/>
      <c r="X12" s="41"/>
      <c r="Y12" s="42"/>
    </row>
    <row r="13" ht="15.75" customHeight="1">
      <c r="A13" s="36" t="s">
        <v>27</v>
      </c>
      <c r="B13" s="37"/>
      <c r="C13" s="38"/>
      <c r="D13" s="38"/>
      <c r="E13" s="39"/>
      <c r="F13" s="40"/>
      <c r="G13" s="41"/>
      <c r="H13" s="41"/>
      <c r="I13" s="42"/>
      <c r="J13" s="37"/>
      <c r="K13" s="38"/>
      <c r="L13" s="38"/>
      <c r="M13" s="43"/>
      <c r="N13" s="40"/>
      <c r="O13" s="41"/>
      <c r="P13" s="41"/>
      <c r="Q13" s="42"/>
      <c r="R13" s="51" t="s">
        <v>17</v>
      </c>
      <c r="S13" s="38" t="s">
        <v>17</v>
      </c>
      <c r="T13" s="38">
        <v>2.0</v>
      </c>
      <c r="U13" s="39">
        <v>2.0</v>
      </c>
      <c r="V13" s="40"/>
      <c r="W13" s="41"/>
      <c r="X13" s="41"/>
      <c r="Y13" s="42"/>
    </row>
    <row r="14" ht="15.75" customHeight="1">
      <c r="A14" s="36" t="s">
        <v>28</v>
      </c>
      <c r="B14" s="37"/>
      <c r="C14" s="38"/>
      <c r="D14" s="38"/>
      <c r="E14" s="39"/>
      <c r="F14" s="40"/>
      <c r="G14" s="41"/>
      <c r="H14" s="41"/>
      <c r="I14" s="42"/>
      <c r="J14" s="37"/>
      <c r="K14" s="38"/>
      <c r="L14" s="38"/>
      <c r="M14" s="43"/>
      <c r="N14" s="40"/>
      <c r="O14" s="41"/>
      <c r="P14" s="41"/>
      <c r="Q14" s="42"/>
      <c r="R14" s="51">
        <v>1.0</v>
      </c>
      <c r="S14" s="38">
        <v>1.0</v>
      </c>
      <c r="T14" s="38" t="s">
        <v>12</v>
      </c>
      <c r="U14" s="39" t="s">
        <v>12</v>
      </c>
      <c r="V14" s="40"/>
      <c r="W14" s="41"/>
      <c r="X14" s="41"/>
      <c r="Y14" s="42"/>
    </row>
    <row r="15" ht="15.75" customHeight="1">
      <c r="A15" s="36" t="s">
        <v>29</v>
      </c>
      <c r="B15" s="37"/>
      <c r="C15" s="38"/>
      <c r="D15" s="38"/>
      <c r="E15" s="39"/>
      <c r="F15" s="40"/>
      <c r="G15" s="41"/>
      <c r="H15" s="41"/>
      <c r="I15" s="42"/>
      <c r="J15" s="37"/>
      <c r="K15" s="38"/>
      <c r="L15" s="38"/>
      <c r="M15" s="43"/>
      <c r="N15" s="40"/>
      <c r="O15" s="41"/>
      <c r="P15" s="41"/>
      <c r="Q15" s="42"/>
      <c r="R15" s="51">
        <v>1.0</v>
      </c>
      <c r="S15" s="38">
        <v>1.0</v>
      </c>
      <c r="T15" s="38">
        <v>1.0</v>
      </c>
      <c r="U15" s="39">
        <v>1.0</v>
      </c>
      <c r="V15" s="40"/>
      <c r="W15" s="41"/>
      <c r="X15" s="41"/>
      <c r="Y15" s="42"/>
    </row>
    <row r="16" ht="15.75" customHeight="1">
      <c r="A16" s="36" t="s">
        <v>30</v>
      </c>
      <c r="B16" s="37"/>
      <c r="C16" s="38"/>
      <c r="D16" s="38"/>
      <c r="E16" s="39"/>
      <c r="F16" s="40"/>
      <c r="G16" s="41"/>
      <c r="H16" s="41"/>
      <c r="I16" s="42"/>
      <c r="J16" s="37"/>
      <c r="K16" s="38"/>
      <c r="L16" s="38"/>
      <c r="M16" s="43"/>
      <c r="N16" s="40"/>
      <c r="O16" s="41"/>
      <c r="P16" s="41"/>
      <c r="Q16" s="42"/>
      <c r="R16" s="51"/>
      <c r="S16" s="38"/>
      <c r="T16" s="38"/>
      <c r="U16" s="39"/>
      <c r="V16" s="40"/>
      <c r="W16" s="41"/>
      <c r="X16" s="41"/>
      <c r="Y16" s="42"/>
    </row>
    <row r="17" ht="15.75" customHeight="1">
      <c r="A17" s="36" t="s">
        <v>31</v>
      </c>
      <c r="B17" s="37"/>
      <c r="C17" s="38"/>
      <c r="D17" s="38"/>
      <c r="E17" s="39"/>
      <c r="F17" s="48" t="s">
        <v>32</v>
      </c>
      <c r="G17" s="49"/>
      <c r="H17" s="49"/>
      <c r="I17" s="50"/>
      <c r="J17" s="53" t="s">
        <v>32</v>
      </c>
      <c r="K17" s="49"/>
      <c r="L17" s="49"/>
      <c r="M17" s="50"/>
      <c r="N17" s="40" t="s">
        <v>17</v>
      </c>
      <c r="O17" s="41" t="s">
        <v>17</v>
      </c>
      <c r="P17" s="41">
        <v>3.0</v>
      </c>
      <c r="Q17" s="42">
        <v>3.0</v>
      </c>
      <c r="R17" s="51">
        <v>3.0</v>
      </c>
      <c r="S17" s="38">
        <v>3.0</v>
      </c>
      <c r="T17" s="38" t="s">
        <v>12</v>
      </c>
      <c r="U17" s="39" t="s">
        <v>12</v>
      </c>
      <c r="V17" s="40"/>
      <c r="W17" s="41"/>
      <c r="X17" s="41"/>
      <c r="Y17" s="42"/>
    </row>
    <row r="18" ht="15.75" customHeight="1">
      <c r="A18" s="36" t="s">
        <v>33</v>
      </c>
      <c r="B18" s="37"/>
      <c r="C18" s="38"/>
      <c r="D18" s="38"/>
      <c r="E18" s="39"/>
      <c r="F18" s="48" t="s">
        <v>32</v>
      </c>
      <c r="G18" s="49"/>
      <c r="H18" s="49"/>
      <c r="I18" s="50"/>
      <c r="J18" s="53" t="s">
        <v>32</v>
      </c>
      <c r="K18" s="49"/>
      <c r="L18" s="49"/>
      <c r="M18" s="50"/>
      <c r="N18" s="48" t="s">
        <v>32</v>
      </c>
      <c r="O18" s="49"/>
      <c r="P18" s="49"/>
      <c r="Q18" s="50"/>
      <c r="R18" s="51">
        <v>2.0</v>
      </c>
      <c r="S18" s="38" t="s">
        <v>12</v>
      </c>
      <c r="T18" s="38" t="s">
        <v>12</v>
      </c>
      <c r="U18" s="39">
        <v>1.0</v>
      </c>
      <c r="V18" s="48" t="s">
        <v>32</v>
      </c>
      <c r="W18" s="49"/>
      <c r="X18" s="49"/>
      <c r="Y18" s="50"/>
    </row>
    <row r="19" ht="15.75" customHeight="1">
      <c r="A19" s="54" t="s">
        <v>34</v>
      </c>
      <c r="B19" s="55"/>
      <c r="C19" s="56"/>
      <c r="D19" s="56"/>
      <c r="E19" s="57"/>
      <c r="F19" s="58"/>
      <c r="G19" s="59"/>
      <c r="H19" s="59"/>
      <c r="I19" s="60"/>
      <c r="J19" s="55">
        <v>3.0</v>
      </c>
      <c r="K19" s="56" t="s">
        <v>12</v>
      </c>
      <c r="L19" s="56">
        <v>1.0</v>
      </c>
      <c r="M19" s="61">
        <v>1.0</v>
      </c>
      <c r="N19" s="58"/>
      <c r="O19" s="59"/>
      <c r="P19" s="59"/>
      <c r="Q19" s="60"/>
      <c r="R19" s="62">
        <v>2.0</v>
      </c>
      <c r="S19" s="56">
        <v>2.0</v>
      </c>
      <c r="T19" s="56">
        <v>3.0</v>
      </c>
      <c r="U19" s="57" t="s">
        <v>12</v>
      </c>
      <c r="V19" s="58"/>
      <c r="W19" s="59"/>
      <c r="X19" s="59"/>
      <c r="Y19" s="6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2:U2"/>
    <mergeCell ref="V2:Y2"/>
    <mergeCell ref="A1:A3"/>
    <mergeCell ref="B1:U1"/>
    <mergeCell ref="V1:Y1"/>
    <mergeCell ref="B2:E2"/>
    <mergeCell ref="F2:I2"/>
    <mergeCell ref="J2:M2"/>
    <mergeCell ref="N2:Q2"/>
    <mergeCell ref="F17:I17"/>
    <mergeCell ref="F18:I18"/>
    <mergeCell ref="J18:M18"/>
    <mergeCell ref="N18:Q18"/>
    <mergeCell ref="N4:O4"/>
    <mergeCell ref="R4:U4"/>
    <mergeCell ref="V4:Y4"/>
    <mergeCell ref="N5:O5"/>
    <mergeCell ref="R5:U5"/>
    <mergeCell ref="V5:Y5"/>
    <mergeCell ref="J17:M17"/>
    <mergeCell ref="V18:Y18"/>
  </mergeCells>
  <conditionalFormatting sqref="B4:N5 B6:U16 B17:F18 B19:Y19 J17:J18 N17:U17 N18 P4:R5 R18:V18 V4:V5 V6:Y17">
    <cfRule type="containsText" dxfId="0" priority="1" operator="containsText" text="2">
      <formula>NOT(ISERROR(SEARCH(("2"),(B4))))</formula>
    </cfRule>
  </conditionalFormatting>
  <conditionalFormatting sqref="B4:N5 B6:U16 B17:F18 B19:Y19 J17:J18 N17:U17 N18 P4:R5 R18:V18 V4:V5 V6:Y17">
    <cfRule type="containsText" dxfId="1" priority="2" operator="containsText" text="1">
      <formula>NOT(ISERROR(SEARCH(("1"),(B4))))</formula>
    </cfRule>
  </conditionalFormatting>
  <conditionalFormatting sqref="B4:N5 B6:U16 B17:F18 B19:Y19 J17:J18 N17:U17 N18 P4:R5 R18:V18 V4:V5 V6:Y17">
    <cfRule type="containsText" dxfId="2" priority="3" operator="containsText" text="3">
      <formula>NOT(ISERROR(SEARCH(("3"),(B4))))</formula>
    </cfRule>
  </conditionalFormatting>
  <conditionalFormatting sqref="B4:N5 B6:U16 B17:F18 B19:Y19 J17:J18 N17:U17 N18 P4:R5 R18:V18 V4:V5 V6:Y17">
    <cfRule type="containsText" dxfId="3" priority="4" operator="containsText" text="D">
      <formula>NOT(ISERROR(SEARCH(("D"),(B4))))</formula>
    </cfRule>
  </conditionalFormatting>
  <conditionalFormatting sqref="B4:N5 B6:U16 B17:F18 B19:Y19 J17:J18 N17:U17 N18 P4:R5 R18:V18 V4:V5 V6:Y17">
    <cfRule type="containsText" dxfId="1" priority="5" operator="containsText" text="L">
      <formula>NOT(ISERROR(SEARCH(("L"),(B4))))</formula>
    </cfRule>
  </conditionalFormatting>
  <printOptions/>
  <pageMargins bottom="0.7480314960629921" footer="0.0" header="0.0" left="0.7086614173228347" right="0.7086614173228347" top="0.7480314960629921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0.71"/>
    <col customWidth="1" min="2" max="3" width="13.29"/>
    <col customWidth="1" min="4" max="395" width="6.71"/>
  </cols>
  <sheetData>
    <row r="1" ht="45.0" customHeight="1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5"/>
      <c r="AG1" s="7"/>
      <c r="AH1" s="64"/>
      <c r="AI1" s="64"/>
      <c r="AJ1" s="64"/>
      <c r="BJ1" s="65"/>
      <c r="BK1" s="7"/>
      <c r="CU1" s="65"/>
      <c r="CV1" s="7"/>
      <c r="DY1" s="65"/>
      <c r="DZ1" s="7"/>
      <c r="FC1" s="65"/>
      <c r="FD1" s="7"/>
      <c r="GN1" s="65"/>
      <c r="GO1" s="7"/>
      <c r="HR1" s="65"/>
      <c r="HS1" s="7"/>
      <c r="IV1" s="65"/>
      <c r="IW1" s="7"/>
      <c r="KG1" s="65"/>
      <c r="KH1" s="7"/>
      <c r="LK1" s="65"/>
      <c r="LL1" s="7"/>
      <c r="MO1" s="65"/>
      <c r="MP1" s="7"/>
      <c r="NZ1" s="65"/>
      <c r="OA1" s="7"/>
      <c r="OD1" s="65"/>
      <c r="OE1" s="7"/>
    </row>
    <row r="2" ht="26.25" customHeight="1">
      <c r="A2" s="66" t="s">
        <v>35</v>
      </c>
      <c r="B2" s="67" t="s">
        <v>36</v>
      </c>
      <c r="C2" s="68" t="s">
        <v>37</v>
      </c>
      <c r="D2" s="69" t="s">
        <v>38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  <c r="AF2" s="70" t="s">
        <v>39</v>
      </c>
      <c r="AG2" s="13"/>
      <c r="AH2" s="69" t="s">
        <v>38</v>
      </c>
      <c r="AI2" s="6"/>
      <c r="AJ2" s="7"/>
      <c r="AK2" s="71" t="s">
        <v>40</v>
      </c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7"/>
      <c r="BJ2" s="70" t="s">
        <v>39</v>
      </c>
      <c r="BK2" s="10"/>
      <c r="BL2" s="69" t="s">
        <v>40</v>
      </c>
      <c r="BM2" s="6"/>
      <c r="BN2" s="6"/>
      <c r="BO2" s="7"/>
      <c r="BP2" s="69" t="s">
        <v>41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7"/>
      <c r="CU2" s="70" t="s">
        <v>39</v>
      </c>
      <c r="CV2" s="13"/>
      <c r="CW2" s="69" t="s">
        <v>42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7"/>
      <c r="DY2" s="70" t="s">
        <v>39</v>
      </c>
      <c r="DZ2" s="13"/>
      <c r="EA2" s="69" t="s">
        <v>42</v>
      </c>
      <c r="EB2" s="7"/>
      <c r="EC2" s="69" t="s">
        <v>43</v>
      </c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7"/>
      <c r="FC2" s="70" t="s">
        <v>39</v>
      </c>
      <c r="FD2" s="13"/>
      <c r="FE2" s="69" t="s">
        <v>43</v>
      </c>
      <c r="FF2" s="6"/>
      <c r="FG2" s="6"/>
      <c r="FH2" s="6"/>
      <c r="FI2" s="7"/>
      <c r="FJ2" s="69" t="s">
        <v>44</v>
      </c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7"/>
      <c r="GN2" s="70" t="s">
        <v>39</v>
      </c>
      <c r="GO2" s="13"/>
      <c r="GP2" s="69" t="s">
        <v>45</v>
      </c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70" t="s">
        <v>39</v>
      </c>
      <c r="HS2" s="13"/>
      <c r="HT2" s="69" t="s">
        <v>45</v>
      </c>
      <c r="HU2" s="6"/>
      <c r="HV2" s="7"/>
      <c r="HW2" s="69" t="s">
        <v>46</v>
      </c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70" t="s">
        <v>39</v>
      </c>
      <c r="IW2" s="13"/>
      <c r="IX2" s="69" t="s">
        <v>46</v>
      </c>
      <c r="IY2" s="6"/>
      <c r="IZ2" s="6"/>
      <c r="JA2" s="6"/>
      <c r="JB2" s="6"/>
      <c r="JC2" s="7"/>
      <c r="JD2" s="69" t="s">
        <v>47</v>
      </c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70" t="s">
        <v>39</v>
      </c>
      <c r="KH2" s="13"/>
      <c r="KI2" s="72" t="s">
        <v>48</v>
      </c>
      <c r="KJ2" s="69" t="s">
        <v>49</v>
      </c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70" t="s">
        <v>39</v>
      </c>
      <c r="LL2" s="13"/>
      <c r="LM2" s="69" t="s">
        <v>49</v>
      </c>
      <c r="LN2" s="6"/>
      <c r="LO2" s="6"/>
      <c r="LP2" s="7"/>
      <c r="LQ2" s="69" t="s">
        <v>50</v>
      </c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70" t="s">
        <v>39</v>
      </c>
      <c r="MP2" s="13"/>
      <c r="MQ2" s="69" t="s">
        <v>50</v>
      </c>
      <c r="MR2" s="6"/>
      <c r="MS2" s="6"/>
      <c r="MT2" s="6"/>
      <c r="MU2" s="6"/>
      <c r="MV2" s="7"/>
      <c r="MW2" s="69" t="s">
        <v>51</v>
      </c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70" t="s">
        <v>39</v>
      </c>
      <c r="OA2" s="13"/>
      <c r="OB2" s="70" t="s">
        <v>52</v>
      </c>
      <c r="OC2" s="13"/>
      <c r="OD2" s="70" t="s">
        <v>53</v>
      </c>
      <c r="OE2" s="13"/>
    </row>
    <row r="3" ht="26.25" customHeight="1">
      <c r="A3" s="73"/>
      <c r="B3" s="74"/>
      <c r="C3" s="75"/>
      <c r="D3" s="76" t="s">
        <v>7</v>
      </c>
      <c r="E3" s="77" t="s">
        <v>8</v>
      </c>
      <c r="F3" s="77" t="s">
        <v>54</v>
      </c>
      <c r="G3" s="77" t="s">
        <v>55</v>
      </c>
      <c r="H3" s="77" t="s">
        <v>9</v>
      </c>
      <c r="I3" s="76" t="s">
        <v>10</v>
      </c>
      <c r="J3" s="76" t="s">
        <v>56</v>
      </c>
      <c r="K3" s="77" t="s">
        <v>57</v>
      </c>
      <c r="L3" s="78" t="s">
        <v>58</v>
      </c>
      <c r="M3" s="78">
        <v>10.0</v>
      </c>
      <c r="N3" s="78">
        <v>11.0</v>
      </c>
      <c r="O3" s="78">
        <v>12.0</v>
      </c>
      <c r="P3" s="78">
        <v>13.0</v>
      </c>
      <c r="Q3" s="79">
        <v>14.0</v>
      </c>
      <c r="R3" s="78">
        <v>15.0</v>
      </c>
      <c r="S3" s="78">
        <v>16.0</v>
      </c>
      <c r="T3" s="78">
        <v>17.0</v>
      </c>
      <c r="U3" s="78">
        <v>18.0</v>
      </c>
      <c r="V3" s="78">
        <v>19.0</v>
      </c>
      <c r="W3" s="78">
        <v>20.0</v>
      </c>
      <c r="X3" s="79">
        <v>21.0</v>
      </c>
      <c r="Y3" s="78">
        <v>22.0</v>
      </c>
      <c r="Z3" s="78">
        <v>23.0</v>
      </c>
      <c r="AA3" s="78">
        <v>24.0</v>
      </c>
      <c r="AB3" s="78">
        <v>25.0</v>
      </c>
      <c r="AC3" s="78">
        <v>26.0</v>
      </c>
      <c r="AD3" s="78">
        <v>27.0</v>
      </c>
      <c r="AE3" s="79">
        <v>28.0</v>
      </c>
      <c r="AF3" s="80" t="s">
        <v>59</v>
      </c>
      <c r="AG3" s="81" t="s">
        <v>12</v>
      </c>
      <c r="AH3" s="82">
        <v>29.0</v>
      </c>
      <c r="AI3" s="83">
        <v>30.0</v>
      </c>
      <c r="AJ3" s="84">
        <v>31.0</v>
      </c>
      <c r="AK3" s="85" t="s">
        <v>7</v>
      </c>
      <c r="AL3" s="86" t="s">
        <v>8</v>
      </c>
      <c r="AM3" s="86" t="s">
        <v>54</v>
      </c>
      <c r="AN3" s="87" t="s">
        <v>55</v>
      </c>
      <c r="AO3" s="86" t="s">
        <v>9</v>
      </c>
      <c r="AP3" s="86" t="s">
        <v>10</v>
      </c>
      <c r="AQ3" s="86" t="s">
        <v>56</v>
      </c>
      <c r="AR3" s="86" t="s">
        <v>57</v>
      </c>
      <c r="AS3" s="83" t="s">
        <v>58</v>
      </c>
      <c r="AT3" s="83">
        <v>10.0</v>
      </c>
      <c r="AU3" s="88">
        <v>11.0</v>
      </c>
      <c r="AV3" s="83">
        <v>12.0</v>
      </c>
      <c r="AW3" s="88">
        <v>13.0</v>
      </c>
      <c r="AX3" s="83">
        <v>14.0</v>
      </c>
      <c r="AY3" s="83">
        <v>15.0</v>
      </c>
      <c r="AZ3" s="83">
        <v>16.0</v>
      </c>
      <c r="BA3" s="83">
        <v>17.0</v>
      </c>
      <c r="BB3" s="88">
        <v>18.0</v>
      </c>
      <c r="BC3" s="83">
        <v>19.0</v>
      </c>
      <c r="BD3" s="83">
        <v>20.0</v>
      </c>
      <c r="BE3" s="83">
        <v>21.0</v>
      </c>
      <c r="BF3" s="83">
        <v>22.0</v>
      </c>
      <c r="BG3" s="83">
        <v>23.0</v>
      </c>
      <c r="BH3" s="83">
        <v>24.0</v>
      </c>
      <c r="BI3" s="88">
        <v>25.0</v>
      </c>
      <c r="BJ3" s="80" t="s">
        <v>59</v>
      </c>
      <c r="BK3" s="81" t="s">
        <v>12</v>
      </c>
      <c r="BL3" s="78">
        <v>26.0</v>
      </c>
      <c r="BM3" s="78">
        <v>27.0</v>
      </c>
      <c r="BN3" s="78">
        <v>28.0</v>
      </c>
      <c r="BO3" s="89">
        <v>29.0</v>
      </c>
      <c r="BP3" s="90" t="s">
        <v>7</v>
      </c>
      <c r="BQ3" s="86" t="s">
        <v>8</v>
      </c>
      <c r="BR3" s="87" t="s">
        <v>54</v>
      </c>
      <c r="BS3" s="86" t="s">
        <v>55</v>
      </c>
      <c r="BT3" s="86" t="s">
        <v>9</v>
      </c>
      <c r="BU3" s="86" t="s">
        <v>10</v>
      </c>
      <c r="BV3" s="86" t="s">
        <v>56</v>
      </c>
      <c r="BW3" s="86" t="s">
        <v>57</v>
      </c>
      <c r="BX3" s="83" t="s">
        <v>58</v>
      </c>
      <c r="BY3" s="88">
        <v>10.0</v>
      </c>
      <c r="BZ3" s="83">
        <v>11.0</v>
      </c>
      <c r="CA3" s="83">
        <v>12.0</v>
      </c>
      <c r="CB3" s="83">
        <v>13.0</v>
      </c>
      <c r="CC3" s="83">
        <v>14.0</v>
      </c>
      <c r="CD3" s="83">
        <v>15.0</v>
      </c>
      <c r="CE3" s="83">
        <v>16.0</v>
      </c>
      <c r="CF3" s="88">
        <v>17.0</v>
      </c>
      <c r="CG3" s="83">
        <v>18.0</v>
      </c>
      <c r="CH3" s="83">
        <v>19.0</v>
      </c>
      <c r="CI3" s="83">
        <v>20.0</v>
      </c>
      <c r="CJ3" s="83">
        <v>21.0</v>
      </c>
      <c r="CK3" s="83">
        <v>22.0</v>
      </c>
      <c r="CL3" s="83">
        <v>23.0</v>
      </c>
      <c r="CM3" s="88">
        <v>24.0</v>
      </c>
      <c r="CN3" s="83">
        <v>25.0</v>
      </c>
      <c r="CO3" s="83">
        <v>26.0</v>
      </c>
      <c r="CP3" s="83">
        <v>27.0</v>
      </c>
      <c r="CQ3" s="88">
        <v>28.0</v>
      </c>
      <c r="CR3" s="88">
        <v>29.0</v>
      </c>
      <c r="CS3" s="83">
        <v>30.0</v>
      </c>
      <c r="CT3" s="91">
        <v>31.0</v>
      </c>
      <c r="CU3" s="80" t="s">
        <v>59</v>
      </c>
      <c r="CV3" s="81" t="s">
        <v>12</v>
      </c>
      <c r="CW3" s="90" t="s">
        <v>7</v>
      </c>
      <c r="CX3" s="86" t="s">
        <v>8</v>
      </c>
      <c r="CY3" s="86" t="s">
        <v>54</v>
      </c>
      <c r="CZ3" s="86" t="s">
        <v>55</v>
      </c>
      <c r="DA3" s="86" t="s">
        <v>9</v>
      </c>
      <c r="DB3" s="86" t="s">
        <v>10</v>
      </c>
      <c r="DC3" s="87" t="s">
        <v>56</v>
      </c>
      <c r="DD3" s="83" t="s">
        <v>57</v>
      </c>
      <c r="DE3" s="83" t="s">
        <v>58</v>
      </c>
      <c r="DF3" s="83">
        <v>10.0</v>
      </c>
      <c r="DG3" s="83">
        <v>11.0</v>
      </c>
      <c r="DH3" s="83">
        <v>12.0</v>
      </c>
      <c r="DI3" s="83">
        <v>13.0</v>
      </c>
      <c r="DJ3" s="88">
        <v>14.0</v>
      </c>
      <c r="DK3" s="83">
        <v>15.0</v>
      </c>
      <c r="DL3" s="83">
        <v>16.0</v>
      </c>
      <c r="DM3" s="83">
        <v>17.0</v>
      </c>
      <c r="DN3" s="83">
        <v>18.0</v>
      </c>
      <c r="DO3" s="83">
        <v>19.0</v>
      </c>
      <c r="DP3" s="83">
        <v>20.0</v>
      </c>
      <c r="DQ3" s="88">
        <v>21.0</v>
      </c>
      <c r="DR3" s="83">
        <v>22.0</v>
      </c>
      <c r="DS3" s="83">
        <v>23.0</v>
      </c>
      <c r="DT3" s="83">
        <v>24.0</v>
      </c>
      <c r="DU3" s="83">
        <v>25.0</v>
      </c>
      <c r="DV3" s="83">
        <v>26.0</v>
      </c>
      <c r="DW3" s="83">
        <v>27.0</v>
      </c>
      <c r="DX3" s="92">
        <v>28.0</v>
      </c>
      <c r="DY3" s="80" t="s">
        <v>59</v>
      </c>
      <c r="DZ3" s="81" t="s">
        <v>12</v>
      </c>
      <c r="EA3" s="93">
        <v>29.0</v>
      </c>
      <c r="EB3" s="94">
        <v>30.0</v>
      </c>
      <c r="EC3" s="95" t="s">
        <v>7</v>
      </c>
      <c r="ED3" s="86" t="s">
        <v>8</v>
      </c>
      <c r="EE3" s="86" t="s">
        <v>54</v>
      </c>
      <c r="EF3" s="86" t="s">
        <v>55</v>
      </c>
      <c r="EG3" s="87" t="s">
        <v>9</v>
      </c>
      <c r="EH3" s="86" t="s">
        <v>10</v>
      </c>
      <c r="EI3" s="86" t="s">
        <v>56</v>
      </c>
      <c r="EJ3" s="86" t="s">
        <v>57</v>
      </c>
      <c r="EK3" s="83" t="s">
        <v>58</v>
      </c>
      <c r="EL3" s="83">
        <v>10.0</v>
      </c>
      <c r="EM3" s="83">
        <v>11.0</v>
      </c>
      <c r="EN3" s="88">
        <v>12.0</v>
      </c>
      <c r="EO3" s="83">
        <v>13.0</v>
      </c>
      <c r="EP3" s="83">
        <v>14.0</v>
      </c>
      <c r="EQ3" s="83">
        <v>15.0</v>
      </c>
      <c r="ER3" s="83">
        <v>16.0</v>
      </c>
      <c r="ES3" s="88">
        <v>17.0</v>
      </c>
      <c r="ET3" s="83">
        <v>18.0</v>
      </c>
      <c r="EU3" s="88">
        <v>19.0</v>
      </c>
      <c r="EV3" s="83">
        <v>20.0</v>
      </c>
      <c r="EW3" s="83">
        <v>21.0</v>
      </c>
      <c r="EX3" s="88">
        <v>22.0</v>
      </c>
      <c r="EY3" s="83">
        <v>23.0</v>
      </c>
      <c r="EZ3" s="83">
        <v>24.0</v>
      </c>
      <c r="FA3" s="83">
        <v>25.0</v>
      </c>
      <c r="FB3" s="88">
        <v>26.0</v>
      </c>
      <c r="FC3" s="80" t="s">
        <v>59</v>
      </c>
      <c r="FD3" s="81" t="s">
        <v>12</v>
      </c>
      <c r="FE3" s="83">
        <v>27.0</v>
      </c>
      <c r="FF3" s="83">
        <v>28.0</v>
      </c>
      <c r="FG3" s="83">
        <v>29.0</v>
      </c>
      <c r="FH3" s="83">
        <v>30.0</v>
      </c>
      <c r="FI3" s="84">
        <v>31.0</v>
      </c>
      <c r="FJ3" s="90" t="s">
        <v>7</v>
      </c>
      <c r="FK3" s="87" t="s">
        <v>8</v>
      </c>
      <c r="FL3" s="86" t="s">
        <v>54</v>
      </c>
      <c r="FM3" s="86" t="s">
        <v>55</v>
      </c>
      <c r="FN3" s="86" t="s">
        <v>9</v>
      </c>
      <c r="FO3" s="86" t="s">
        <v>10</v>
      </c>
      <c r="FP3" s="86" t="s">
        <v>56</v>
      </c>
      <c r="FQ3" s="86" t="s">
        <v>57</v>
      </c>
      <c r="FR3" s="87" t="s">
        <v>58</v>
      </c>
      <c r="FS3" s="83">
        <v>10.0</v>
      </c>
      <c r="FT3" s="83">
        <v>11.0</v>
      </c>
      <c r="FU3" s="83">
        <v>12.0</v>
      </c>
      <c r="FV3" s="83">
        <v>13.0</v>
      </c>
      <c r="FW3" s="83">
        <v>14.0</v>
      </c>
      <c r="FX3" s="83">
        <v>15.0</v>
      </c>
      <c r="FY3" s="88">
        <v>16.0</v>
      </c>
      <c r="FZ3" s="83">
        <v>17.0</v>
      </c>
      <c r="GA3" s="83">
        <v>18.0</v>
      </c>
      <c r="GB3" s="83">
        <v>19.0</v>
      </c>
      <c r="GC3" s="83">
        <v>20.0</v>
      </c>
      <c r="GD3" s="83">
        <v>21.0</v>
      </c>
      <c r="GE3" s="83">
        <v>22.0</v>
      </c>
      <c r="GF3" s="88">
        <v>23.0</v>
      </c>
      <c r="GG3" s="83">
        <v>24.0</v>
      </c>
      <c r="GH3" s="83">
        <v>25.0</v>
      </c>
      <c r="GI3" s="83">
        <v>26.0</v>
      </c>
      <c r="GJ3" s="83">
        <v>27.0</v>
      </c>
      <c r="GK3" s="83">
        <v>28.0</v>
      </c>
      <c r="GL3" s="83">
        <v>29.0</v>
      </c>
      <c r="GM3" s="92">
        <v>30.0</v>
      </c>
      <c r="GN3" s="80" t="s">
        <v>59</v>
      </c>
      <c r="GO3" s="81" t="s">
        <v>12</v>
      </c>
      <c r="GP3" s="86" t="s">
        <v>7</v>
      </c>
      <c r="GQ3" s="86" t="s">
        <v>8</v>
      </c>
      <c r="GR3" s="86" t="s">
        <v>54</v>
      </c>
      <c r="GS3" s="86" t="s">
        <v>55</v>
      </c>
      <c r="GT3" s="86" t="s">
        <v>9</v>
      </c>
      <c r="GU3" s="86" t="s">
        <v>10</v>
      </c>
      <c r="GV3" s="87" t="s">
        <v>56</v>
      </c>
      <c r="GW3" s="86" t="s">
        <v>57</v>
      </c>
      <c r="GX3" s="83" t="s">
        <v>58</v>
      </c>
      <c r="GY3" s="83">
        <v>10.0</v>
      </c>
      <c r="GZ3" s="83">
        <v>11.0</v>
      </c>
      <c r="HA3" s="83">
        <v>12.0</v>
      </c>
      <c r="HB3" s="83">
        <v>13.0</v>
      </c>
      <c r="HC3" s="88">
        <v>14.0</v>
      </c>
      <c r="HD3" s="83">
        <v>15.0</v>
      </c>
      <c r="HE3" s="83">
        <v>16.0</v>
      </c>
      <c r="HF3" s="83">
        <v>17.0</v>
      </c>
      <c r="HG3" s="83">
        <v>18.0</v>
      </c>
      <c r="HH3" s="83">
        <v>19.0</v>
      </c>
      <c r="HI3" s="83">
        <v>20.0</v>
      </c>
      <c r="HJ3" s="88">
        <v>21.0</v>
      </c>
      <c r="HK3" s="83">
        <v>22.0</v>
      </c>
      <c r="HL3" s="83">
        <v>23.0</v>
      </c>
      <c r="HM3" s="83">
        <v>24.0</v>
      </c>
      <c r="HN3" s="88">
        <v>25.0</v>
      </c>
      <c r="HO3" s="83">
        <v>26.0</v>
      </c>
      <c r="HP3" s="83">
        <v>27.0</v>
      </c>
      <c r="HQ3" s="88">
        <v>28.0</v>
      </c>
      <c r="HR3" s="80" t="s">
        <v>59</v>
      </c>
      <c r="HS3" s="81" t="s">
        <v>12</v>
      </c>
      <c r="HT3" s="83">
        <v>29.0</v>
      </c>
      <c r="HU3" s="83">
        <v>30.0</v>
      </c>
      <c r="HV3" s="84">
        <v>31.0</v>
      </c>
      <c r="HW3" s="86" t="s">
        <v>7</v>
      </c>
      <c r="HX3" s="86" t="s">
        <v>8</v>
      </c>
      <c r="HY3" s="86" t="s">
        <v>54</v>
      </c>
      <c r="HZ3" s="87" t="s">
        <v>55</v>
      </c>
      <c r="IA3" s="86" t="s">
        <v>9</v>
      </c>
      <c r="IB3" s="86" t="s">
        <v>10</v>
      </c>
      <c r="IC3" s="86" t="s">
        <v>56</v>
      </c>
      <c r="ID3" s="86" t="s">
        <v>57</v>
      </c>
      <c r="IE3" s="83" t="s">
        <v>58</v>
      </c>
      <c r="IF3" s="83">
        <v>10.0</v>
      </c>
      <c r="IG3" s="88">
        <v>11.0</v>
      </c>
      <c r="IH3" s="83">
        <v>12.0</v>
      </c>
      <c r="II3" s="83">
        <v>13.0</v>
      </c>
      <c r="IJ3" s="83">
        <v>14.0</v>
      </c>
      <c r="IK3" s="88">
        <v>15.0</v>
      </c>
      <c r="IL3" s="88">
        <v>16.0</v>
      </c>
      <c r="IM3" s="83">
        <v>17.0</v>
      </c>
      <c r="IN3" s="88">
        <v>18.0</v>
      </c>
      <c r="IO3" s="83">
        <v>19.0</v>
      </c>
      <c r="IP3" s="83">
        <v>20.0</v>
      </c>
      <c r="IQ3" s="83">
        <v>21.0</v>
      </c>
      <c r="IR3" s="83">
        <v>22.0</v>
      </c>
      <c r="IS3" s="83">
        <v>23.0</v>
      </c>
      <c r="IT3" s="83">
        <v>24.0</v>
      </c>
      <c r="IU3" s="88">
        <v>25.0</v>
      </c>
      <c r="IV3" s="80" t="s">
        <v>59</v>
      </c>
      <c r="IW3" s="81" t="s">
        <v>12</v>
      </c>
      <c r="IX3" s="83">
        <v>26.0</v>
      </c>
      <c r="IY3" s="83">
        <v>27.0</v>
      </c>
      <c r="IZ3" s="83">
        <v>28.0</v>
      </c>
      <c r="JA3" s="83">
        <v>29.0</v>
      </c>
      <c r="JB3" s="83">
        <v>30.0</v>
      </c>
      <c r="JC3" s="96">
        <v>31.0</v>
      </c>
      <c r="JD3" s="97" t="s">
        <v>7</v>
      </c>
      <c r="JE3" s="86" t="s">
        <v>8</v>
      </c>
      <c r="JF3" s="86" t="s">
        <v>54</v>
      </c>
      <c r="JG3" s="86" t="s">
        <v>55</v>
      </c>
      <c r="JH3" s="86" t="s">
        <v>9</v>
      </c>
      <c r="JI3" s="86" t="s">
        <v>10</v>
      </c>
      <c r="JJ3" s="86" t="s">
        <v>56</v>
      </c>
      <c r="JK3" s="87" t="s">
        <v>57</v>
      </c>
      <c r="JL3" s="83" t="s">
        <v>58</v>
      </c>
      <c r="JM3" s="83">
        <v>10.0</v>
      </c>
      <c r="JN3" s="83">
        <v>11.0</v>
      </c>
      <c r="JO3" s="83">
        <v>12.0</v>
      </c>
      <c r="JP3" s="83">
        <v>13.0</v>
      </c>
      <c r="JQ3" s="83">
        <v>14.0</v>
      </c>
      <c r="JR3" s="88">
        <v>15.0</v>
      </c>
      <c r="JS3" s="83">
        <v>16.0</v>
      </c>
      <c r="JT3" s="83">
        <v>17.0</v>
      </c>
      <c r="JU3" s="83">
        <v>18.0</v>
      </c>
      <c r="JV3" s="83">
        <v>19.0</v>
      </c>
      <c r="JW3" s="83">
        <v>20.0</v>
      </c>
      <c r="JX3" s="83">
        <v>21.0</v>
      </c>
      <c r="JY3" s="88">
        <v>22.0</v>
      </c>
      <c r="JZ3" s="83">
        <v>23.0</v>
      </c>
      <c r="KA3" s="83">
        <v>24.0</v>
      </c>
      <c r="KB3" s="83">
        <v>25.0</v>
      </c>
      <c r="KC3" s="83">
        <v>26.0</v>
      </c>
      <c r="KD3" s="83">
        <v>27.0</v>
      </c>
      <c r="KE3" s="83">
        <v>28.0</v>
      </c>
      <c r="KF3" s="92">
        <v>29.0</v>
      </c>
      <c r="KG3" s="80" t="s">
        <v>59</v>
      </c>
      <c r="KH3" s="81" t="s">
        <v>12</v>
      </c>
      <c r="KI3" s="84">
        <v>30.0</v>
      </c>
      <c r="KJ3" s="85" t="s">
        <v>7</v>
      </c>
      <c r="KK3" s="86" t="s">
        <v>8</v>
      </c>
      <c r="KL3" s="86" t="s">
        <v>54</v>
      </c>
      <c r="KM3" s="86" t="s">
        <v>55</v>
      </c>
      <c r="KN3" s="86" t="s">
        <v>9</v>
      </c>
      <c r="KO3" s="87" t="s">
        <v>10</v>
      </c>
      <c r="KP3" s="86" t="s">
        <v>56</v>
      </c>
      <c r="KQ3" s="86" t="s">
        <v>57</v>
      </c>
      <c r="KR3" s="83" t="s">
        <v>58</v>
      </c>
      <c r="KS3" s="83">
        <v>10.0</v>
      </c>
      <c r="KT3" s="83">
        <v>11.0</v>
      </c>
      <c r="KU3" s="88">
        <v>12.0</v>
      </c>
      <c r="KV3" s="88">
        <v>13.0</v>
      </c>
      <c r="KW3" s="83">
        <v>14.0</v>
      </c>
      <c r="KX3" s="83">
        <v>15.0</v>
      </c>
      <c r="KY3" s="83">
        <v>16.0</v>
      </c>
      <c r="KZ3" s="83">
        <v>17.0</v>
      </c>
      <c r="LA3" s="83">
        <v>18.0</v>
      </c>
      <c r="LB3" s="83">
        <v>19.0</v>
      </c>
      <c r="LC3" s="88">
        <v>20.0</v>
      </c>
      <c r="LD3" s="83">
        <v>21.0</v>
      </c>
      <c r="LE3" s="83">
        <v>22.0</v>
      </c>
      <c r="LF3" s="83">
        <v>23.0</v>
      </c>
      <c r="LG3" s="83">
        <v>24.0</v>
      </c>
      <c r="LH3" s="83">
        <v>25.0</v>
      </c>
      <c r="LI3" s="83">
        <v>26.0</v>
      </c>
      <c r="LJ3" s="88">
        <v>27.0</v>
      </c>
      <c r="LK3" s="80" t="s">
        <v>59</v>
      </c>
      <c r="LL3" s="81" t="s">
        <v>12</v>
      </c>
      <c r="LM3" s="83">
        <v>28.0</v>
      </c>
      <c r="LN3" s="83">
        <v>29.0</v>
      </c>
      <c r="LO3" s="83">
        <v>30.0</v>
      </c>
      <c r="LP3" s="96">
        <v>31.0</v>
      </c>
      <c r="LQ3" s="97" t="s">
        <v>7</v>
      </c>
      <c r="LR3" s="86" t="s">
        <v>8</v>
      </c>
      <c r="LS3" s="87" t="s">
        <v>54</v>
      </c>
      <c r="LT3" s="86" t="s">
        <v>55</v>
      </c>
      <c r="LU3" s="86" t="s">
        <v>9</v>
      </c>
      <c r="LV3" s="86" t="s">
        <v>10</v>
      </c>
      <c r="LW3" s="86" t="s">
        <v>56</v>
      </c>
      <c r="LX3" s="86" t="s">
        <v>57</v>
      </c>
      <c r="LY3" s="86" t="s">
        <v>58</v>
      </c>
      <c r="LZ3" s="88">
        <v>10.0</v>
      </c>
      <c r="MA3" s="83">
        <v>11.0</v>
      </c>
      <c r="MB3" s="83">
        <v>12.0</v>
      </c>
      <c r="MC3" s="83">
        <v>13.0</v>
      </c>
      <c r="MD3" s="83">
        <v>14.0</v>
      </c>
      <c r="ME3" s="83">
        <v>15.0</v>
      </c>
      <c r="MF3" s="83">
        <v>16.0</v>
      </c>
      <c r="MG3" s="88">
        <v>17.0</v>
      </c>
      <c r="MH3" s="83">
        <v>18.0</v>
      </c>
      <c r="MI3" s="83">
        <v>19.0</v>
      </c>
      <c r="MJ3" s="83">
        <v>20.0</v>
      </c>
      <c r="MK3" s="83">
        <v>21.0</v>
      </c>
      <c r="ML3" s="83">
        <v>22.0</v>
      </c>
      <c r="MM3" s="83">
        <v>23.0</v>
      </c>
      <c r="MN3" s="88">
        <v>24.0</v>
      </c>
      <c r="MO3" s="80" t="s">
        <v>59</v>
      </c>
      <c r="MP3" s="81" t="s">
        <v>12</v>
      </c>
      <c r="MQ3" s="83">
        <v>25.0</v>
      </c>
      <c r="MR3" s="83">
        <v>26.0</v>
      </c>
      <c r="MS3" s="83">
        <v>27.0</v>
      </c>
      <c r="MT3" s="83">
        <v>28.0</v>
      </c>
      <c r="MU3" s="83">
        <v>29.0</v>
      </c>
      <c r="MV3" s="84">
        <v>30.0</v>
      </c>
      <c r="MW3" s="95" t="s">
        <v>7</v>
      </c>
      <c r="MX3" s="86" t="s">
        <v>8</v>
      </c>
      <c r="MY3" s="86" t="s">
        <v>54</v>
      </c>
      <c r="MZ3" s="86" t="s">
        <v>55</v>
      </c>
      <c r="NA3" s="86" t="s">
        <v>9</v>
      </c>
      <c r="NB3" s="95" t="s">
        <v>10</v>
      </c>
      <c r="NC3" s="86" t="s">
        <v>56</v>
      </c>
      <c r="ND3" s="95" t="s">
        <v>57</v>
      </c>
      <c r="NE3" s="83" t="s">
        <v>58</v>
      </c>
      <c r="NF3" s="83">
        <v>10.0</v>
      </c>
      <c r="NG3" s="83">
        <v>11.0</v>
      </c>
      <c r="NH3" s="83">
        <v>12.0</v>
      </c>
      <c r="NI3" s="83">
        <v>13.0</v>
      </c>
      <c r="NJ3" s="83">
        <v>14.0</v>
      </c>
      <c r="NK3" s="88">
        <v>15.0</v>
      </c>
      <c r="NL3" s="83">
        <v>16.0</v>
      </c>
      <c r="NM3" s="83">
        <v>17.0</v>
      </c>
      <c r="NN3" s="83">
        <v>18.0</v>
      </c>
      <c r="NO3" s="83">
        <v>19.0</v>
      </c>
      <c r="NP3" s="83">
        <v>20.0</v>
      </c>
      <c r="NQ3" s="83">
        <v>21.0</v>
      </c>
      <c r="NR3" s="88">
        <v>22.0</v>
      </c>
      <c r="NS3" s="83">
        <v>23.0</v>
      </c>
      <c r="NT3" s="83">
        <v>24.0</v>
      </c>
      <c r="NU3" s="88">
        <v>25.0</v>
      </c>
      <c r="NV3" s="83">
        <v>26.0</v>
      </c>
      <c r="NW3" s="83">
        <v>27.0</v>
      </c>
      <c r="NX3" s="83">
        <v>28.0</v>
      </c>
      <c r="NY3" s="88">
        <v>29.0</v>
      </c>
      <c r="NZ3" s="80" t="s">
        <v>59</v>
      </c>
      <c r="OA3" s="81" t="s">
        <v>12</v>
      </c>
      <c r="OB3" s="83">
        <v>30.0</v>
      </c>
      <c r="OC3" s="84">
        <v>31.0</v>
      </c>
      <c r="OD3" s="80" t="s">
        <v>59</v>
      </c>
      <c r="OE3" s="81" t="s">
        <v>12</v>
      </c>
    </row>
    <row r="4" ht="26.25" customHeight="1">
      <c r="A4" s="98" t="s">
        <v>60</v>
      </c>
      <c r="B4" s="99" t="s">
        <v>61</v>
      </c>
      <c r="C4" s="100" t="s">
        <v>11</v>
      </c>
      <c r="D4" s="101" t="s">
        <v>62</v>
      </c>
      <c r="E4" s="10"/>
      <c r="F4" s="10"/>
      <c r="G4" s="10"/>
      <c r="H4" s="10"/>
      <c r="I4" s="10"/>
      <c r="J4" s="10"/>
      <c r="K4" s="10"/>
      <c r="L4" s="10"/>
      <c r="M4" s="11"/>
      <c r="N4" s="102" t="s">
        <v>13</v>
      </c>
      <c r="O4" s="102" t="s">
        <v>13</v>
      </c>
      <c r="P4" s="102" t="s">
        <v>12</v>
      </c>
      <c r="Q4" s="102" t="s">
        <v>12</v>
      </c>
      <c r="R4" s="102" t="s">
        <v>13</v>
      </c>
      <c r="S4" s="102" t="s">
        <v>13</v>
      </c>
      <c r="T4" s="102" t="s">
        <v>13</v>
      </c>
      <c r="U4" s="102" t="s">
        <v>13</v>
      </c>
      <c r="V4" s="102" t="s">
        <v>13</v>
      </c>
      <c r="W4" s="102" t="s">
        <v>12</v>
      </c>
      <c r="X4" s="102" t="s">
        <v>12</v>
      </c>
      <c r="Y4" s="102" t="s">
        <v>13</v>
      </c>
      <c r="Z4" s="102" t="s">
        <v>13</v>
      </c>
      <c r="AA4" s="102" t="s">
        <v>13</v>
      </c>
      <c r="AB4" s="102" t="s">
        <v>13</v>
      </c>
      <c r="AC4" s="102" t="s">
        <v>13</v>
      </c>
      <c r="AD4" s="102" t="s">
        <v>12</v>
      </c>
      <c r="AE4" s="102" t="s">
        <v>12</v>
      </c>
      <c r="AF4" s="103"/>
      <c r="AG4" s="104"/>
      <c r="AH4" s="105" t="s">
        <v>13</v>
      </c>
      <c r="AI4" s="102" t="s">
        <v>13</v>
      </c>
      <c r="AJ4" s="106" t="s">
        <v>13</v>
      </c>
      <c r="AK4" s="107" t="s">
        <v>13</v>
      </c>
      <c r="AL4" s="102" t="s">
        <v>13</v>
      </c>
      <c r="AM4" s="102" t="s">
        <v>12</v>
      </c>
      <c r="AN4" s="102" t="s">
        <v>12</v>
      </c>
      <c r="AO4" s="102" t="s">
        <v>13</v>
      </c>
      <c r="AP4" s="102" t="s">
        <v>13</v>
      </c>
      <c r="AQ4" s="102" t="s">
        <v>13</v>
      </c>
      <c r="AR4" s="102" t="s">
        <v>13</v>
      </c>
      <c r="AS4" s="102" t="s">
        <v>13</v>
      </c>
      <c r="AT4" s="102" t="s">
        <v>12</v>
      </c>
      <c r="AU4" s="102" t="s">
        <v>12</v>
      </c>
      <c r="AV4" s="102" t="s">
        <v>13</v>
      </c>
      <c r="AW4" s="102" t="s">
        <v>12</v>
      </c>
      <c r="AX4" s="102" t="s">
        <v>13</v>
      </c>
      <c r="AY4" s="102" t="s">
        <v>13</v>
      </c>
      <c r="AZ4" s="102" t="s">
        <v>13</v>
      </c>
      <c r="BA4" s="102" t="s">
        <v>12</v>
      </c>
      <c r="BB4" s="102" t="s">
        <v>12</v>
      </c>
      <c r="BC4" s="102" t="s">
        <v>13</v>
      </c>
      <c r="BD4" s="102" t="s">
        <v>13</v>
      </c>
      <c r="BE4" s="102" t="s">
        <v>13</v>
      </c>
      <c r="BF4" s="102" t="s">
        <v>13</v>
      </c>
      <c r="BG4" s="102" t="s">
        <v>13</v>
      </c>
      <c r="BH4" s="102" t="s">
        <v>12</v>
      </c>
      <c r="BI4" s="102" t="s">
        <v>12</v>
      </c>
      <c r="BJ4" s="103"/>
      <c r="BK4" s="104"/>
      <c r="BL4" s="102" t="s">
        <v>13</v>
      </c>
      <c r="BM4" s="102" t="s">
        <v>13</v>
      </c>
      <c r="BN4" s="102" t="s">
        <v>13</v>
      </c>
      <c r="BO4" s="102" t="s">
        <v>13</v>
      </c>
      <c r="BP4" s="105" t="s">
        <v>13</v>
      </c>
      <c r="BQ4" s="102" t="s">
        <v>12</v>
      </c>
      <c r="BR4" s="102" t="s">
        <v>12</v>
      </c>
      <c r="BS4" s="102" t="s">
        <v>13</v>
      </c>
      <c r="BT4" s="102" t="s">
        <v>13</v>
      </c>
      <c r="BU4" s="102" t="s">
        <v>13</v>
      </c>
      <c r="BV4" s="102" t="s">
        <v>13</v>
      </c>
      <c r="BW4" s="102" t="s">
        <v>13</v>
      </c>
      <c r="BX4" s="102" t="s">
        <v>12</v>
      </c>
      <c r="BY4" s="102" t="s">
        <v>12</v>
      </c>
      <c r="BZ4" s="102" t="s">
        <v>13</v>
      </c>
      <c r="CA4" s="102" t="s">
        <v>13</v>
      </c>
      <c r="CB4" s="102" t="s">
        <v>13</v>
      </c>
      <c r="CC4" s="102" t="s">
        <v>13</v>
      </c>
      <c r="CD4" s="102" t="s">
        <v>13</v>
      </c>
      <c r="CE4" s="102" t="s">
        <v>12</v>
      </c>
      <c r="CF4" s="102" t="s">
        <v>12</v>
      </c>
      <c r="CG4" s="102" t="s">
        <v>13</v>
      </c>
      <c r="CH4" s="102" t="s">
        <v>13</v>
      </c>
      <c r="CI4" s="102" t="s">
        <v>13</v>
      </c>
      <c r="CJ4" s="102" t="s">
        <v>13</v>
      </c>
      <c r="CK4" s="102" t="s">
        <v>13</v>
      </c>
      <c r="CL4" s="108" t="s">
        <v>62</v>
      </c>
      <c r="CM4" s="10"/>
      <c r="CN4" s="10"/>
      <c r="CO4" s="10"/>
      <c r="CP4" s="10"/>
      <c r="CQ4" s="10"/>
      <c r="CR4" s="10"/>
      <c r="CS4" s="10"/>
      <c r="CT4" s="13"/>
      <c r="CU4" s="103"/>
      <c r="CV4" s="104"/>
      <c r="CW4" s="109" t="s">
        <v>62</v>
      </c>
      <c r="CX4" s="10"/>
      <c r="CY4" s="10"/>
      <c r="CZ4" s="10"/>
      <c r="DA4" s="10"/>
      <c r="DB4" s="10"/>
      <c r="DC4" s="10"/>
      <c r="DD4" s="10"/>
      <c r="DE4" s="10"/>
      <c r="DF4" s="11"/>
      <c r="DG4" s="110" t="s">
        <v>63</v>
      </c>
      <c r="DH4" s="108" t="s">
        <v>64</v>
      </c>
      <c r="DI4" s="10"/>
      <c r="DJ4" s="10"/>
      <c r="DK4" s="11"/>
      <c r="DL4" s="102" t="s">
        <v>13</v>
      </c>
      <c r="DM4" s="102" t="s">
        <v>13</v>
      </c>
      <c r="DN4" s="102" t="s">
        <v>13</v>
      </c>
      <c r="DO4" s="102" t="s">
        <v>13</v>
      </c>
      <c r="DP4" s="102" t="s">
        <v>12</v>
      </c>
      <c r="DQ4" s="102" t="s">
        <v>12</v>
      </c>
      <c r="DR4" s="102" t="s">
        <v>13</v>
      </c>
      <c r="DS4" s="102" t="s">
        <v>13</v>
      </c>
      <c r="DT4" s="102" t="s">
        <v>13</v>
      </c>
      <c r="DU4" s="102" t="s">
        <v>13</v>
      </c>
      <c r="DV4" s="102" t="s">
        <v>13</v>
      </c>
      <c r="DW4" s="102" t="s">
        <v>12</v>
      </c>
      <c r="DX4" s="102" t="s">
        <v>12</v>
      </c>
      <c r="DY4" s="103"/>
      <c r="DZ4" s="104"/>
      <c r="EA4" s="102" t="s">
        <v>13</v>
      </c>
      <c r="EB4" s="106" t="s">
        <v>13</v>
      </c>
      <c r="EC4" s="105" t="s">
        <v>12</v>
      </c>
      <c r="ED4" s="102" t="s">
        <v>13</v>
      </c>
      <c r="EE4" s="102" t="s">
        <v>13</v>
      </c>
      <c r="EF4" s="102" t="s">
        <v>12</v>
      </c>
      <c r="EG4" s="102" t="s">
        <v>12</v>
      </c>
      <c r="EH4" s="102" t="s">
        <v>13</v>
      </c>
      <c r="EI4" s="102" t="s">
        <v>13</v>
      </c>
      <c r="EJ4" s="102" t="s">
        <v>13</v>
      </c>
      <c r="EK4" s="111" t="s">
        <v>13</v>
      </c>
      <c r="EL4" s="111" t="s">
        <v>13</v>
      </c>
      <c r="EM4" s="102" t="s">
        <v>12</v>
      </c>
      <c r="EN4" s="102" t="s">
        <v>12</v>
      </c>
      <c r="EO4" s="111" t="s">
        <v>13</v>
      </c>
      <c r="EP4" s="102" t="s">
        <v>13</v>
      </c>
      <c r="EQ4" s="102" t="s">
        <v>13</v>
      </c>
      <c r="ER4" s="102" t="s">
        <v>13</v>
      </c>
      <c r="ES4" s="102" t="s">
        <v>12</v>
      </c>
      <c r="ET4" s="102" t="s">
        <v>12</v>
      </c>
      <c r="EU4" s="102" t="s">
        <v>12</v>
      </c>
      <c r="EV4" s="102" t="s">
        <v>13</v>
      </c>
      <c r="EW4" s="102" t="s">
        <v>13</v>
      </c>
      <c r="EX4" s="102" t="s">
        <v>12</v>
      </c>
      <c r="EY4" s="102" t="s">
        <v>13</v>
      </c>
      <c r="EZ4" s="102" t="s">
        <v>13</v>
      </c>
      <c r="FA4" s="102" t="s">
        <v>12</v>
      </c>
      <c r="FB4" s="102" t="s">
        <v>12</v>
      </c>
      <c r="FC4" s="103"/>
      <c r="FD4" s="104"/>
      <c r="FE4" s="102" t="s">
        <v>13</v>
      </c>
      <c r="FF4" s="102" t="s">
        <v>13</v>
      </c>
      <c r="FG4" s="102" t="s">
        <v>13</v>
      </c>
      <c r="FH4" s="102" t="s">
        <v>13</v>
      </c>
      <c r="FI4" s="106" t="s">
        <v>13</v>
      </c>
      <c r="FJ4" s="105" t="s">
        <v>12</v>
      </c>
      <c r="FK4" s="102" t="s">
        <v>12</v>
      </c>
      <c r="FL4" s="102" t="s">
        <v>13</v>
      </c>
      <c r="FM4" s="102" t="s">
        <v>13</v>
      </c>
      <c r="FN4" s="102" t="s">
        <v>13</v>
      </c>
      <c r="FO4" s="102" t="s">
        <v>13</v>
      </c>
      <c r="FP4" s="102" t="s">
        <v>13</v>
      </c>
      <c r="FQ4" s="102" t="s">
        <v>12</v>
      </c>
      <c r="FR4" s="102" t="s">
        <v>12</v>
      </c>
      <c r="FS4" s="102" t="s">
        <v>13</v>
      </c>
      <c r="FT4" s="112" t="s">
        <v>65</v>
      </c>
      <c r="FU4" s="102" t="s">
        <v>13</v>
      </c>
      <c r="FV4" s="102" t="s">
        <v>13</v>
      </c>
      <c r="FW4" s="102" t="s">
        <v>13</v>
      </c>
      <c r="FX4" s="102" t="s">
        <v>12</v>
      </c>
      <c r="FY4" s="102" t="s">
        <v>12</v>
      </c>
      <c r="FZ4" s="102" t="s">
        <v>13</v>
      </c>
      <c r="GA4" s="102" t="s">
        <v>13</v>
      </c>
      <c r="GB4" s="102" t="s">
        <v>13</v>
      </c>
      <c r="GC4" s="102" t="s">
        <v>13</v>
      </c>
      <c r="GD4" s="102" t="s">
        <v>13</v>
      </c>
      <c r="GE4" s="102" t="s">
        <v>12</v>
      </c>
      <c r="GF4" s="102" t="s">
        <v>12</v>
      </c>
      <c r="GG4" s="102" t="s">
        <v>13</v>
      </c>
      <c r="GH4" s="102" t="s">
        <v>13</v>
      </c>
      <c r="GI4" s="102" t="s">
        <v>13</v>
      </c>
      <c r="GJ4" s="102" t="s">
        <v>13</v>
      </c>
      <c r="GK4" s="102" t="s">
        <v>13</v>
      </c>
      <c r="GL4" s="102" t="s">
        <v>12</v>
      </c>
      <c r="GM4" s="102" t="s">
        <v>12</v>
      </c>
      <c r="GN4" s="103"/>
      <c r="GO4" s="104"/>
      <c r="GP4" s="107" t="s">
        <v>13</v>
      </c>
      <c r="GQ4" s="102" t="s">
        <v>13</v>
      </c>
      <c r="GR4" s="102" t="s">
        <v>13</v>
      </c>
      <c r="GS4" s="102" t="s">
        <v>13</v>
      </c>
      <c r="GT4" s="102" t="s">
        <v>13</v>
      </c>
      <c r="GU4" s="102" t="s">
        <v>12</v>
      </c>
      <c r="GV4" s="102" t="s">
        <v>12</v>
      </c>
      <c r="GW4" s="102" t="s">
        <v>13</v>
      </c>
      <c r="GX4" s="102" t="s">
        <v>13</v>
      </c>
      <c r="GY4" s="102" t="s">
        <v>13</v>
      </c>
      <c r="GZ4" s="102" t="s">
        <v>13</v>
      </c>
      <c r="HA4" s="102" t="s">
        <v>13</v>
      </c>
      <c r="HB4" s="102" t="s">
        <v>12</v>
      </c>
      <c r="HC4" s="102" t="s">
        <v>12</v>
      </c>
      <c r="HD4" s="102" t="s">
        <v>13</v>
      </c>
      <c r="HE4" s="102" t="s">
        <v>13</v>
      </c>
      <c r="HF4" s="102" t="s">
        <v>13</v>
      </c>
      <c r="HG4" s="102" t="s">
        <v>13</v>
      </c>
      <c r="HH4" s="102" t="s">
        <v>13</v>
      </c>
      <c r="HI4" s="102" t="s">
        <v>12</v>
      </c>
      <c r="HJ4" s="102" t="s">
        <v>12</v>
      </c>
      <c r="HK4" s="102" t="s">
        <v>13</v>
      </c>
      <c r="HL4" s="102" t="s">
        <v>13</v>
      </c>
      <c r="HM4" s="102" t="s">
        <v>13</v>
      </c>
      <c r="HN4" s="102" t="s">
        <v>12</v>
      </c>
      <c r="HO4" s="102" t="s">
        <v>13</v>
      </c>
      <c r="HP4" s="102" t="s">
        <v>12</v>
      </c>
      <c r="HQ4" s="102" t="s">
        <v>12</v>
      </c>
      <c r="HR4" s="103"/>
      <c r="HS4" s="104"/>
      <c r="HT4" s="102" t="s">
        <v>13</v>
      </c>
      <c r="HU4" s="102" t="s">
        <v>13</v>
      </c>
      <c r="HV4" s="106" t="s">
        <v>13</v>
      </c>
      <c r="HW4" s="107" t="s">
        <v>13</v>
      </c>
      <c r="HX4" s="102" t="s">
        <v>13</v>
      </c>
      <c r="HY4" s="102" t="s">
        <v>12</v>
      </c>
      <c r="HZ4" s="102" t="s">
        <v>12</v>
      </c>
      <c r="IA4" s="102" t="s">
        <v>13</v>
      </c>
      <c r="IB4" s="102" t="s">
        <v>13</v>
      </c>
      <c r="IC4" s="102" t="s">
        <v>13</v>
      </c>
      <c r="ID4" s="102" t="s">
        <v>13</v>
      </c>
      <c r="IE4" s="102" t="s">
        <v>13</v>
      </c>
      <c r="IF4" s="102" t="s">
        <v>12</v>
      </c>
      <c r="IG4" s="102" t="s">
        <v>12</v>
      </c>
      <c r="IH4" s="102" t="s">
        <v>13</v>
      </c>
      <c r="II4" s="102" t="s">
        <v>13</v>
      </c>
      <c r="IJ4" s="102" t="s">
        <v>13</v>
      </c>
      <c r="IK4" s="102" t="s">
        <v>13</v>
      </c>
      <c r="IL4" s="102" t="s">
        <v>13</v>
      </c>
      <c r="IM4" s="102" t="s">
        <v>12</v>
      </c>
      <c r="IN4" s="102" t="s">
        <v>12</v>
      </c>
      <c r="IO4" s="102" t="s">
        <v>13</v>
      </c>
      <c r="IP4" s="102" t="s">
        <v>13</v>
      </c>
      <c r="IQ4" s="102" t="s">
        <v>13</v>
      </c>
      <c r="IR4" s="102" t="s">
        <v>13</v>
      </c>
      <c r="IS4" s="102" t="s">
        <v>13</v>
      </c>
      <c r="IT4" s="102" t="s">
        <v>12</v>
      </c>
      <c r="IU4" s="102" t="s">
        <v>12</v>
      </c>
      <c r="IV4" s="103"/>
      <c r="IW4" s="104"/>
      <c r="IX4" s="102" t="s">
        <v>13</v>
      </c>
      <c r="IY4" s="102" t="s">
        <v>13</v>
      </c>
      <c r="IZ4" s="102" t="s">
        <v>13</v>
      </c>
      <c r="JA4" s="102" t="s">
        <v>13</v>
      </c>
      <c r="JB4" s="102" t="s">
        <v>13</v>
      </c>
      <c r="JC4" s="113" t="s">
        <v>12</v>
      </c>
      <c r="JD4" s="105" t="s">
        <v>12</v>
      </c>
      <c r="JE4" s="102" t="s">
        <v>13</v>
      </c>
      <c r="JF4" s="102" t="s">
        <v>13</v>
      </c>
      <c r="JG4" s="102" t="s">
        <v>13</v>
      </c>
      <c r="JH4" s="102" t="s">
        <v>13</v>
      </c>
      <c r="JI4" s="102" t="s">
        <v>13</v>
      </c>
      <c r="JJ4" s="102" t="s">
        <v>12</v>
      </c>
      <c r="JK4" s="102" t="s">
        <v>12</v>
      </c>
      <c r="JL4" s="102" t="s">
        <v>13</v>
      </c>
      <c r="JM4" s="102" t="s">
        <v>13</v>
      </c>
      <c r="JN4" s="102" t="s">
        <v>13</v>
      </c>
      <c r="JO4" s="102" t="s">
        <v>13</v>
      </c>
      <c r="JP4" s="102" t="s">
        <v>13</v>
      </c>
      <c r="JQ4" s="102" t="s">
        <v>12</v>
      </c>
      <c r="JR4" s="102" t="s">
        <v>12</v>
      </c>
      <c r="JS4" s="102" t="s">
        <v>13</v>
      </c>
      <c r="JT4" s="102" t="s">
        <v>13</v>
      </c>
      <c r="JU4" s="102" t="s">
        <v>13</v>
      </c>
      <c r="JV4" s="102" t="s">
        <v>13</v>
      </c>
      <c r="JW4" s="102" t="s">
        <v>13</v>
      </c>
      <c r="JX4" s="102" t="s">
        <v>12</v>
      </c>
      <c r="JY4" s="102" t="s">
        <v>12</v>
      </c>
      <c r="JZ4" s="102" t="s">
        <v>13</v>
      </c>
      <c r="KA4" s="102" t="s">
        <v>13</v>
      </c>
      <c r="KB4" s="102" t="s">
        <v>13</v>
      </c>
      <c r="KC4" s="102" t="s">
        <v>13</v>
      </c>
      <c r="KD4" s="102" t="s">
        <v>13</v>
      </c>
      <c r="KE4" s="102" t="s">
        <v>12</v>
      </c>
      <c r="KF4" s="102" t="s">
        <v>12</v>
      </c>
      <c r="KG4" s="103"/>
      <c r="KH4" s="104"/>
      <c r="KI4" s="106" t="s">
        <v>13</v>
      </c>
      <c r="KJ4" s="107" t="s">
        <v>13</v>
      </c>
      <c r="KK4" s="102" t="s">
        <v>13</v>
      </c>
      <c r="KL4" s="102" t="s">
        <v>13</v>
      </c>
      <c r="KM4" s="102" t="s">
        <v>13</v>
      </c>
      <c r="KN4" s="102" t="s">
        <v>12</v>
      </c>
      <c r="KO4" s="102" t="s">
        <v>12</v>
      </c>
      <c r="KP4" s="102" t="s">
        <v>13</v>
      </c>
      <c r="KQ4" s="102" t="s">
        <v>13</v>
      </c>
      <c r="KR4" s="102" t="s">
        <v>13</v>
      </c>
      <c r="KS4" s="102" t="s">
        <v>13</v>
      </c>
      <c r="KT4" s="102" t="s">
        <v>13</v>
      </c>
      <c r="KU4" s="102" t="s">
        <v>12</v>
      </c>
      <c r="KV4" s="102" t="s">
        <v>12</v>
      </c>
      <c r="KW4" s="102" t="s">
        <v>13</v>
      </c>
      <c r="KX4" s="102" t="s">
        <v>13</v>
      </c>
      <c r="KY4" s="102" t="s">
        <v>13</v>
      </c>
      <c r="KZ4" s="102" t="s">
        <v>13</v>
      </c>
      <c r="LA4" s="102" t="s">
        <v>13</v>
      </c>
      <c r="LB4" s="102" t="s">
        <v>12</v>
      </c>
      <c r="LC4" s="102" t="s">
        <v>12</v>
      </c>
      <c r="LD4" s="102" t="s">
        <v>13</v>
      </c>
      <c r="LE4" s="102" t="s">
        <v>13</v>
      </c>
      <c r="LF4" s="102" t="s">
        <v>13</v>
      </c>
      <c r="LG4" s="102" t="s">
        <v>13</v>
      </c>
      <c r="LH4" s="102" t="s">
        <v>13</v>
      </c>
      <c r="LI4" s="102" t="s">
        <v>12</v>
      </c>
      <c r="LJ4" s="102" t="s">
        <v>12</v>
      </c>
      <c r="LK4" s="103"/>
      <c r="LL4" s="104"/>
      <c r="LM4" s="102" t="s">
        <v>13</v>
      </c>
      <c r="LN4" s="102" t="s">
        <v>13</v>
      </c>
      <c r="LO4" s="102" t="s">
        <v>13</v>
      </c>
      <c r="LP4" s="113" t="s">
        <v>13</v>
      </c>
      <c r="LQ4" s="105" t="s">
        <v>12</v>
      </c>
      <c r="LR4" s="102" t="s">
        <v>12</v>
      </c>
      <c r="LS4" s="102" t="s">
        <v>12</v>
      </c>
      <c r="LT4" s="102" t="s">
        <v>13</v>
      </c>
      <c r="LU4" s="102" t="s">
        <v>13</v>
      </c>
      <c r="LV4" s="102" t="s">
        <v>13</v>
      </c>
      <c r="LW4" s="102" t="s">
        <v>13</v>
      </c>
      <c r="LX4" s="102" t="s">
        <v>13</v>
      </c>
      <c r="LY4" s="102" t="s">
        <v>12</v>
      </c>
      <c r="LZ4" s="102" t="s">
        <v>12</v>
      </c>
      <c r="MA4" s="102" t="s">
        <v>13</v>
      </c>
      <c r="MB4" s="102" t="s">
        <v>13</v>
      </c>
      <c r="MC4" s="102" t="s">
        <v>13</v>
      </c>
      <c r="MD4" s="102" t="s">
        <v>13</v>
      </c>
      <c r="ME4" s="102" t="s">
        <v>13</v>
      </c>
      <c r="MF4" s="102" t="s">
        <v>12</v>
      </c>
      <c r="MG4" s="102" t="s">
        <v>12</v>
      </c>
      <c r="MH4" s="102" t="s">
        <v>13</v>
      </c>
      <c r="MI4" s="102" t="s">
        <v>13</v>
      </c>
      <c r="MJ4" s="102" t="s">
        <v>13</v>
      </c>
      <c r="MK4" s="102" t="s">
        <v>13</v>
      </c>
      <c r="ML4" s="102" t="s">
        <v>13</v>
      </c>
      <c r="MM4" s="102" t="s">
        <v>12</v>
      </c>
      <c r="MN4" s="102" t="s">
        <v>12</v>
      </c>
      <c r="MO4" s="103"/>
      <c r="MP4" s="104"/>
      <c r="MQ4" s="102" t="s">
        <v>13</v>
      </c>
      <c r="MR4" s="102" t="s">
        <v>13</v>
      </c>
      <c r="MS4" s="102" t="s">
        <v>13</v>
      </c>
      <c r="MT4" s="102" t="s">
        <v>13</v>
      </c>
      <c r="MU4" s="102" t="s">
        <v>13</v>
      </c>
      <c r="MV4" s="106" t="s">
        <v>12</v>
      </c>
      <c r="MW4" s="107" t="s">
        <v>12</v>
      </c>
      <c r="MX4" s="102" t="s">
        <v>13</v>
      </c>
      <c r="MY4" s="102" t="s">
        <v>13</v>
      </c>
      <c r="MZ4" s="102" t="s">
        <v>13</v>
      </c>
      <c r="NA4" s="102" t="s">
        <v>13</v>
      </c>
      <c r="NB4" s="102" t="s">
        <v>12</v>
      </c>
      <c r="NC4" s="102" t="s">
        <v>12</v>
      </c>
      <c r="ND4" s="102" t="s">
        <v>12</v>
      </c>
      <c r="NE4" s="102" t="s">
        <v>13</v>
      </c>
      <c r="NF4" s="102" t="s">
        <v>13</v>
      </c>
      <c r="NG4" s="102" t="s">
        <v>13</v>
      </c>
      <c r="NH4" s="102" t="s">
        <v>13</v>
      </c>
      <c r="NI4" s="102" t="s">
        <v>13</v>
      </c>
      <c r="NJ4" s="102" t="s">
        <v>12</v>
      </c>
      <c r="NK4" s="102" t="s">
        <v>12</v>
      </c>
      <c r="NL4" s="102" t="s">
        <v>13</v>
      </c>
      <c r="NM4" s="102" t="s">
        <v>13</v>
      </c>
      <c r="NN4" s="102" t="s">
        <v>13</v>
      </c>
      <c r="NO4" s="102" t="s">
        <v>13</v>
      </c>
      <c r="NP4" s="102" t="s">
        <v>13</v>
      </c>
      <c r="NQ4" s="102" t="s">
        <v>12</v>
      </c>
      <c r="NR4" s="102" t="s">
        <v>12</v>
      </c>
      <c r="NS4" s="102" t="s">
        <v>13</v>
      </c>
      <c r="NT4" s="102" t="s">
        <v>13</v>
      </c>
      <c r="NU4" s="102" t="s">
        <v>12</v>
      </c>
      <c r="NV4" s="102" t="s">
        <v>13</v>
      </c>
      <c r="NW4" s="102" t="s">
        <v>13</v>
      </c>
      <c r="NX4" s="102" t="s">
        <v>12</v>
      </c>
      <c r="NY4" s="102" t="s">
        <v>12</v>
      </c>
      <c r="NZ4" s="103"/>
      <c r="OA4" s="104"/>
      <c r="OB4" s="102" t="s">
        <v>13</v>
      </c>
      <c r="OC4" s="106" t="s">
        <v>13</v>
      </c>
      <c r="OD4" s="103"/>
      <c r="OE4" s="104"/>
    </row>
    <row r="5" ht="26.25" customHeight="1">
      <c r="A5" s="73"/>
      <c r="B5" s="74"/>
      <c r="C5" s="114"/>
      <c r="D5" s="115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17"/>
      <c r="AH5" s="115"/>
      <c r="AI5" s="116"/>
      <c r="AJ5" s="118"/>
      <c r="AK5" s="119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7"/>
      <c r="BK5" s="117"/>
      <c r="BL5" s="116"/>
      <c r="BM5" s="116"/>
      <c r="BN5" s="116"/>
      <c r="BO5" s="116"/>
      <c r="BP5" s="115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8"/>
      <c r="CU5" s="117"/>
      <c r="CV5" s="117"/>
      <c r="CW5" s="115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7"/>
      <c r="DZ5" s="117"/>
      <c r="EA5" s="116"/>
      <c r="EB5" s="118"/>
      <c r="EC5" s="115"/>
      <c r="ED5" s="116"/>
      <c r="EE5" s="116"/>
      <c r="EF5" s="116"/>
      <c r="EG5" s="116"/>
      <c r="EH5" s="116"/>
      <c r="EI5" s="116"/>
      <c r="EJ5" s="116"/>
      <c r="EK5" s="116" t="s">
        <v>12</v>
      </c>
      <c r="EL5" s="116" t="s">
        <v>12</v>
      </c>
      <c r="EM5" s="116"/>
      <c r="EN5" s="116"/>
      <c r="EO5" s="116" t="s">
        <v>12</v>
      </c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7"/>
      <c r="FD5" s="117"/>
      <c r="FE5" s="116"/>
      <c r="FF5" s="116"/>
      <c r="FG5" s="116"/>
      <c r="FH5" s="116"/>
      <c r="FI5" s="118"/>
      <c r="FJ5" s="115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7"/>
      <c r="GO5" s="117"/>
      <c r="GP5" s="119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7"/>
      <c r="HS5" s="117"/>
      <c r="HT5" s="116"/>
      <c r="HU5" s="116"/>
      <c r="HV5" s="118"/>
      <c r="HW5" s="119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7"/>
      <c r="IW5" s="117"/>
      <c r="IX5" s="116"/>
      <c r="IY5" s="116"/>
      <c r="IZ5" s="116"/>
      <c r="JA5" s="116"/>
      <c r="JB5" s="116"/>
      <c r="JC5" s="120"/>
      <c r="JD5" s="115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7"/>
      <c r="KH5" s="117"/>
      <c r="KI5" s="118"/>
      <c r="KJ5" s="119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7"/>
      <c r="LL5" s="117"/>
      <c r="LM5" s="116"/>
      <c r="LN5" s="116"/>
      <c r="LO5" s="116"/>
      <c r="LP5" s="120"/>
      <c r="LQ5" s="115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7"/>
      <c r="MP5" s="117"/>
      <c r="MQ5" s="116"/>
      <c r="MR5" s="116"/>
      <c r="MS5" s="116"/>
      <c r="MT5" s="116"/>
      <c r="MU5" s="116"/>
      <c r="MV5" s="118"/>
      <c r="MW5" s="119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7"/>
      <c r="OA5" s="117"/>
      <c r="OB5" s="116"/>
      <c r="OC5" s="118"/>
      <c r="OD5" s="117"/>
      <c r="OE5" s="117"/>
    </row>
    <row r="6" ht="26.25" customHeight="1">
      <c r="A6" s="121" t="s">
        <v>66</v>
      </c>
      <c r="B6" s="122" t="s">
        <v>67</v>
      </c>
      <c r="C6" s="123" t="s">
        <v>16</v>
      </c>
      <c r="D6" s="124"/>
      <c r="E6" s="124"/>
      <c r="F6" s="124"/>
      <c r="G6" s="124"/>
      <c r="H6" s="124" t="s">
        <v>12</v>
      </c>
      <c r="I6" s="124" t="s">
        <v>12</v>
      </c>
      <c r="J6" s="124" t="s">
        <v>12</v>
      </c>
      <c r="K6" s="124"/>
      <c r="L6" s="124"/>
      <c r="M6" s="124"/>
      <c r="N6" s="124"/>
      <c r="O6" s="124" t="s">
        <v>12</v>
      </c>
      <c r="P6" s="102">
        <v>3.0</v>
      </c>
      <c r="Q6" s="102">
        <v>3.0</v>
      </c>
      <c r="R6" s="102"/>
      <c r="S6" s="102"/>
      <c r="T6" s="102"/>
      <c r="U6" s="102"/>
      <c r="V6" s="124" t="s">
        <v>12</v>
      </c>
      <c r="W6" s="124" t="s">
        <v>12</v>
      </c>
      <c r="X6" s="124" t="s">
        <v>12</v>
      </c>
      <c r="Y6" s="102"/>
      <c r="Z6" s="102"/>
      <c r="AA6" s="102"/>
      <c r="AB6" s="102"/>
      <c r="AC6" s="102">
        <v>2.0</v>
      </c>
      <c r="AD6" s="102">
        <v>2.0</v>
      </c>
      <c r="AE6" s="102">
        <v>2.0</v>
      </c>
      <c r="AF6" s="104">
        <f>COUNTIF(D6:AE6,"D")/3</f>
        <v>2.333333333</v>
      </c>
      <c r="AG6" s="104">
        <f>COUNTIF(D6:AE6,"D")/3</f>
        <v>2.333333333</v>
      </c>
      <c r="AH6" s="105"/>
      <c r="AI6" s="113"/>
      <c r="AJ6" s="106"/>
      <c r="AK6" s="107"/>
      <c r="AL6" s="102">
        <v>2.0</v>
      </c>
      <c r="AM6" s="102">
        <v>2.0</v>
      </c>
      <c r="AN6" s="102">
        <v>2.0</v>
      </c>
      <c r="AO6" s="102"/>
      <c r="AP6" s="102"/>
      <c r="AQ6" s="102"/>
      <c r="AR6" s="102"/>
      <c r="AS6" s="102" t="s">
        <v>12</v>
      </c>
      <c r="AT6" s="102"/>
      <c r="AU6" s="102">
        <v>3.0</v>
      </c>
      <c r="AV6" s="102">
        <v>3.0</v>
      </c>
      <c r="AW6" s="102">
        <v>3.0</v>
      </c>
      <c r="AX6" s="111"/>
      <c r="AY6" s="102"/>
      <c r="AZ6" s="102">
        <v>1.0</v>
      </c>
      <c r="BA6" s="102" t="s">
        <v>12</v>
      </c>
      <c r="BB6" s="102" t="s">
        <v>12</v>
      </c>
      <c r="BC6" s="102"/>
      <c r="BD6" s="102"/>
      <c r="BE6" s="102"/>
      <c r="BF6" s="102"/>
      <c r="BG6" s="102" t="s">
        <v>12</v>
      </c>
      <c r="BH6" s="102" t="s">
        <v>12</v>
      </c>
      <c r="BI6" s="102" t="s">
        <v>12</v>
      </c>
      <c r="BJ6" s="104">
        <f>COUNTIF(AH6:BI6,"D")/3</f>
        <v>2</v>
      </c>
      <c r="BK6" s="104">
        <f>COUNTIF(AH6:BI6,"D")/3</f>
        <v>2</v>
      </c>
      <c r="BL6" s="111"/>
      <c r="BM6" s="102"/>
      <c r="BN6" s="102"/>
      <c r="BO6" s="102"/>
      <c r="BP6" s="105">
        <v>3.0</v>
      </c>
      <c r="BQ6" s="102">
        <v>3.0</v>
      </c>
      <c r="BR6" s="102" t="s">
        <v>12</v>
      </c>
      <c r="BS6" s="102"/>
      <c r="BT6" s="102"/>
      <c r="BU6" s="102"/>
      <c r="BV6" s="102"/>
      <c r="BW6" s="102">
        <v>2.0</v>
      </c>
      <c r="BX6" s="102">
        <v>2.0</v>
      </c>
      <c r="BY6" s="102">
        <v>2.0</v>
      </c>
      <c r="BZ6" s="102"/>
      <c r="CA6" s="102"/>
      <c r="CB6" s="102"/>
      <c r="CC6" s="102"/>
      <c r="CD6" s="102">
        <v>2.0</v>
      </c>
      <c r="CE6" s="102">
        <v>2.0</v>
      </c>
      <c r="CF6" s="102">
        <v>2.0</v>
      </c>
      <c r="CG6" s="102"/>
      <c r="CH6" s="102"/>
      <c r="CI6" s="102"/>
      <c r="CJ6" s="102"/>
      <c r="CK6" s="102">
        <v>1.0</v>
      </c>
      <c r="CL6" s="102" t="s">
        <v>12</v>
      </c>
      <c r="CM6" s="102" t="s">
        <v>12</v>
      </c>
      <c r="CN6" s="102"/>
      <c r="CO6" s="102"/>
      <c r="CP6" s="102"/>
      <c r="CQ6" s="102"/>
      <c r="CR6" s="102" t="s">
        <v>12</v>
      </c>
      <c r="CS6" s="113" t="s">
        <v>12</v>
      </c>
      <c r="CT6" s="106" t="s">
        <v>12</v>
      </c>
      <c r="CU6" s="104">
        <f>COUNTIF(BL6:CT6,"D")/3</f>
        <v>2</v>
      </c>
      <c r="CV6" s="104">
        <f>COUNTIF(BL6:CT6,"D")/3</f>
        <v>2</v>
      </c>
      <c r="CW6" s="105"/>
      <c r="CX6" s="110"/>
      <c r="CY6" s="110"/>
      <c r="CZ6" s="102"/>
      <c r="DA6" s="102"/>
      <c r="DB6" s="102" t="s">
        <v>12</v>
      </c>
      <c r="DC6" s="102" t="s">
        <v>12</v>
      </c>
      <c r="DD6" s="102"/>
      <c r="DE6" s="102"/>
      <c r="DF6" s="102"/>
      <c r="DG6" s="102"/>
      <c r="DH6" s="102"/>
      <c r="DI6" s="102" t="s">
        <v>12</v>
      </c>
      <c r="DJ6" s="102" t="s">
        <v>12</v>
      </c>
      <c r="DK6" s="102"/>
      <c r="DL6" s="111"/>
      <c r="DM6" s="112"/>
      <c r="DN6" s="102"/>
      <c r="DO6" s="102">
        <v>3.0</v>
      </c>
      <c r="DP6" s="102" t="s">
        <v>12</v>
      </c>
      <c r="DQ6" s="102" t="s">
        <v>12</v>
      </c>
      <c r="DR6" s="111"/>
      <c r="DS6" s="102"/>
      <c r="DT6" s="102"/>
      <c r="DU6" s="102"/>
      <c r="DV6" s="102" t="s">
        <v>68</v>
      </c>
      <c r="DW6" s="102" t="s">
        <v>12</v>
      </c>
      <c r="DX6" s="102" t="s">
        <v>12</v>
      </c>
      <c r="DY6" s="104">
        <f>COUNTIF(CW6:DX6,"D")/3</f>
        <v>2.666666667</v>
      </c>
      <c r="DZ6" s="104">
        <f>COUNTIF(CW6:DX6,"D")/3</f>
        <v>2.666666667</v>
      </c>
      <c r="EA6" s="112"/>
      <c r="EB6" s="106"/>
      <c r="EC6" s="125"/>
      <c r="ED6" s="126"/>
      <c r="EE6" s="126" t="s">
        <v>12</v>
      </c>
      <c r="EF6" s="126" t="s">
        <v>12</v>
      </c>
      <c r="EG6" s="126" t="s">
        <v>12</v>
      </c>
      <c r="EH6" s="126"/>
      <c r="EI6" s="126"/>
      <c r="EJ6" s="126"/>
      <c r="EK6" s="127"/>
      <c r="EL6" s="127"/>
      <c r="EM6" s="126" t="s">
        <v>12</v>
      </c>
      <c r="EN6" s="126" t="s">
        <v>12</v>
      </c>
      <c r="EO6" s="127"/>
      <c r="EP6" s="126"/>
      <c r="EQ6" s="126"/>
      <c r="ER6" s="126"/>
      <c r="ES6" s="126" t="s">
        <v>12</v>
      </c>
      <c r="ET6" s="126" t="s">
        <v>12</v>
      </c>
      <c r="EU6" s="126" t="s">
        <v>12</v>
      </c>
      <c r="EV6" s="126"/>
      <c r="EW6" s="126"/>
      <c r="EX6" s="126"/>
      <c r="EY6" s="126"/>
      <c r="EZ6" s="126">
        <v>1.0</v>
      </c>
      <c r="FA6" s="126">
        <v>1.0</v>
      </c>
      <c r="FB6" s="126">
        <v>1.0</v>
      </c>
      <c r="FC6" s="104">
        <f>COUNTIF(EA6:FB6,"D")/3</f>
        <v>2.666666667</v>
      </c>
      <c r="FD6" s="104">
        <f>COUNTIF(EA6:FB6,"D")/3</f>
        <v>2.666666667</v>
      </c>
      <c r="FE6" s="126"/>
      <c r="FF6" s="128"/>
      <c r="FG6" s="128"/>
      <c r="FH6" s="128"/>
      <c r="FI6" s="129" t="s">
        <v>12</v>
      </c>
      <c r="FJ6" s="102" t="s">
        <v>12</v>
      </c>
      <c r="FK6" s="102" t="s">
        <v>12</v>
      </c>
      <c r="FL6" s="102"/>
      <c r="FM6" s="102"/>
      <c r="FN6" s="102"/>
      <c r="FO6" s="102"/>
      <c r="FP6" s="102">
        <v>1.0</v>
      </c>
      <c r="FQ6" s="102">
        <v>1.0</v>
      </c>
      <c r="FR6" s="102">
        <v>1.0</v>
      </c>
      <c r="FS6" s="102"/>
      <c r="FT6" s="112"/>
      <c r="FU6" s="102"/>
      <c r="FV6" s="102"/>
      <c r="FW6" s="102" t="s">
        <v>12</v>
      </c>
      <c r="FX6" s="102" t="s">
        <v>12</v>
      </c>
      <c r="FY6" s="102">
        <v>2.0</v>
      </c>
      <c r="FZ6" s="102"/>
      <c r="GA6" s="102"/>
      <c r="GB6" s="102"/>
      <c r="GC6" s="102"/>
      <c r="GD6" s="102">
        <v>2.0</v>
      </c>
      <c r="GE6" s="102">
        <v>2.0</v>
      </c>
      <c r="GF6" s="102">
        <v>2.0</v>
      </c>
      <c r="GG6" s="102"/>
      <c r="GH6" s="102"/>
      <c r="GI6" s="102"/>
      <c r="GJ6" s="111"/>
      <c r="GK6" s="102" t="s">
        <v>12</v>
      </c>
      <c r="GL6" s="102" t="s">
        <v>12</v>
      </c>
      <c r="GM6" s="113" t="s">
        <v>12</v>
      </c>
      <c r="GN6" s="104">
        <f>COUNTIF(FE6:GM6,"D")/3</f>
        <v>2.666666667</v>
      </c>
      <c r="GO6" s="104">
        <f>COUNTIF(FE6:GM6,"D")/3</f>
        <v>2.666666667</v>
      </c>
      <c r="GP6" s="105"/>
      <c r="GQ6" s="102"/>
      <c r="GR6" s="102"/>
      <c r="GS6" s="102"/>
      <c r="GT6" s="102" t="s">
        <v>12</v>
      </c>
      <c r="GU6" s="102" t="s">
        <v>12</v>
      </c>
      <c r="GV6" s="102" t="s">
        <v>12</v>
      </c>
      <c r="GW6" s="102"/>
      <c r="GX6" s="102"/>
      <c r="GY6" s="102"/>
      <c r="GZ6" s="102"/>
      <c r="HA6" s="102" t="s">
        <v>12</v>
      </c>
      <c r="HB6" s="102" t="s">
        <v>12</v>
      </c>
      <c r="HC6" s="102" t="s">
        <v>12</v>
      </c>
      <c r="HD6" s="102"/>
      <c r="HE6" s="102"/>
      <c r="HF6" s="102"/>
      <c r="HG6" s="102"/>
      <c r="HH6" s="102" t="s">
        <v>12</v>
      </c>
      <c r="HI6" s="102" t="s">
        <v>12</v>
      </c>
      <c r="HJ6" s="102" t="s">
        <v>12</v>
      </c>
      <c r="HK6" s="102"/>
      <c r="HL6" s="102"/>
      <c r="HM6" s="102"/>
      <c r="HN6" s="102"/>
      <c r="HO6" s="102"/>
      <c r="HP6" s="102" t="s">
        <v>12</v>
      </c>
      <c r="HQ6" s="102" t="s">
        <v>12</v>
      </c>
      <c r="HR6" s="104">
        <f>COUNTIF(GP6:HQ6,"D")/3</f>
        <v>3.666666667</v>
      </c>
      <c r="HS6" s="104">
        <f>COUNTIF(GP6:HQ6,"D")/3</f>
        <v>3.666666667</v>
      </c>
      <c r="HT6" s="102"/>
      <c r="HU6" s="113"/>
      <c r="HV6" s="106"/>
      <c r="HW6" s="105"/>
      <c r="HX6" s="102"/>
      <c r="HY6" s="102" t="s">
        <v>12</v>
      </c>
      <c r="HZ6" s="102" t="s">
        <v>12</v>
      </c>
      <c r="IA6" s="102"/>
      <c r="IB6" s="102"/>
      <c r="IC6" s="102"/>
      <c r="ID6" s="102"/>
      <c r="IE6" s="102"/>
      <c r="IF6" s="102" t="s">
        <v>12</v>
      </c>
      <c r="IG6" s="102" t="s">
        <v>12</v>
      </c>
      <c r="IH6" s="102"/>
      <c r="II6" s="102"/>
      <c r="IJ6" s="102"/>
      <c r="IK6" s="102"/>
      <c r="IL6" s="102"/>
      <c r="IM6" s="102" t="s">
        <v>12</v>
      </c>
      <c r="IN6" s="102" t="s">
        <v>12</v>
      </c>
      <c r="IO6" s="102"/>
      <c r="IP6" s="102"/>
      <c r="IQ6" s="102"/>
      <c r="IR6" s="102"/>
      <c r="IS6" s="102" t="s">
        <v>12</v>
      </c>
      <c r="IT6" s="102" t="s">
        <v>12</v>
      </c>
      <c r="IU6" s="102" t="s">
        <v>12</v>
      </c>
      <c r="IV6" s="104">
        <f>COUNTIF(HT6:IU6,"D")/3</f>
        <v>3</v>
      </c>
      <c r="IW6" s="104">
        <f>COUNTIF(HT6:IU6,"D")/3</f>
        <v>3</v>
      </c>
      <c r="IX6" s="102"/>
      <c r="IY6" s="102"/>
      <c r="IZ6" s="102"/>
      <c r="JA6" s="102"/>
      <c r="JB6" s="113" t="s">
        <v>12</v>
      </c>
      <c r="JC6" s="106" t="s">
        <v>12</v>
      </c>
      <c r="JD6" s="125" t="s">
        <v>12</v>
      </c>
      <c r="JE6" s="126"/>
      <c r="JF6" s="126"/>
      <c r="JG6" s="126"/>
      <c r="JH6" s="126"/>
      <c r="JI6" s="126">
        <v>1.0</v>
      </c>
      <c r="JJ6" s="126">
        <v>1.0</v>
      </c>
      <c r="JK6" s="126">
        <v>1.0</v>
      </c>
      <c r="JL6" s="126"/>
      <c r="JM6" s="126"/>
      <c r="JN6" s="126"/>
      <c r="JO6" s="126"/>
      <c r="JP6" s="126" t="s">
        <v>12</v>
      </c>
      <c r="JQ6" s="126" t="s">
        <v>12</v>
      </c>
      <c r="JR6" s="126" t="s">
        <v>12</v>
      </c>
      <c r="JS6" s="126"/>
      <c r="JT6" s="126"/>
      <c r="JU6" s="126"/>
      <c r="JV6" s="126"/>
      <c r="JW6" s="126">
        <v>2.0</v>
      </c>
      <c r="JX6" s="126">
        <v>2.0</v>
      </c>
      <c r="JY6" s="126">
        <v>2.0</v>
      </c>
      <c r="JZ6" s="126"/>
      <c r="KA6" s="126"/>
      <c r="KB6" s="126"/>
      <c r="KC6" s="126"/>
      <c r="KD6" s="126">
        <v>1.0</v>
      </c>
      <c r="KE6" s="126">
        <v>1.0</v>
      </c>
      <c r="KF6" s="126">
        <v>1.0</v>
      </c>
      <c r="KG6" s="104">
        <f>COUNTIF(IX6:KF6,"D")/3</f>
        <v>2</v>
      </c>
      <c r="KH6" s="104">
        <f>COUNTIF(IX6:KF6,"D")/3</f>
        <v>2</v>
      </c>
      <c r="KI6" s="128"/>
      <c r="KJ6" s="105"/>
      <c r="KK6" s="102"/>
      <c r="KL6" s="102"/>
      <c r="KM6" s="102" t="s">
        <v>12</v>
      </c>
      <c r="KN6" s="102">
        <v>1.0</v>
      </c>
      <c r="KO6" s="102">
        <v>1.0</v>
      </c>
      <c r="KP6" s="102"/>
      <c r="KQ6" s="102"/>
      <c r="KR6" s="102"/>
      <c r="KS6" s="102"/>
      <c r="KT6" s="102" t="s">
        <v>12</v>
      </c>
      <c r="KU6" s="102" t="s">
        <v>12</v>
      </c>
      <c r="KV6" s="102" t="s">
        <v>12</v>
      </c>
      <c r="KW6" s="102"/>
      <c r="KX6" s="102"/>
      <c r="KY6" s="102"/>
      <c r="KZ6" s="102"/>
      <c r="LA6" s="102"/>
      <c r="LB6" s="102" t="s">
        <v>12</v>
      </c>
      <c r="LC6" s="102" t="s">
        <v>12</v>
      </c>
      <c r="LD6" s="102"/>
      <c r="LE6" s="102"/>
      <c r="LF6" s="102"/>
      <c r="LG6" s="102"/>
      <c r="LH6" s="102"/>
      <c r="LI6" s="102" t="s">
        <v>12</v>
      </c>
      <c r="LJ6" s="102" t="s">
        <v>12</v>
      </c>
      <c r="LK6" s="104">
        <f>COUNTIF(KI6:LJ6,"D")/3</f>
        <v>2.666666667</v>
      </c>
      <c r="LL6" s="104">
        <f>COUNTIF(KI6:LJ6,"D")/3</f>
        <v>2.666666667</v>
      </c>
      <c r="LM6" s="102"/>
      <c r="LN6" s="102"/>
      <c r="LO6" s="113"/>
      <c r="LP6" s="106"/>
      <c r="LQ6" s="102" t="s">
        <v>12</v>
      </c>
      <c r="LR6" s="102" t="s">
        <v>12</v>
      </c>
      <c r="LS6" s="102" t="s">
        <v>12</v>
      </c>
      <c r="LT6" s="102"/>
      <c r="LU6" s="102"/>
      <c r="LV6" s="102"/>
      <c r="LW6" s="102"/>
      <c r="LX6" s="102">
        <v>2.0</v>
      </c>
      <c r="LY6" s="102">
        <v>2.0</v>
      </c>
      <c r="LZ6" s="102">
        <v>2.0</v>
      </c>
      <c r="MA6" s="126"/>
      <c r="MB6" s="126"/>
      <c r="MC6" s="126"/>
      <c r="MD6" s="126"/>
      <c r="ME6" s="126">
        <v>1.0</v>
      </c>
      <c r="MF6" s="126">
        <v>1.0</v>
      </c>
      <c r="MG6" s="126">
        <v>1.0</v>
      </c>
      <c r="MH6" s="126"/>
      <c r="MI6" s="126"/>
      <c r="MJ6" s="126"/>
      <c r="MK6" s="126"/>
      <c r="ML6" s="126" t="s">
        <v>12</v>
      </c>
      <c r="MM6" s="126" t="s">
        <v>12</v>
      </c>
      <c r="MN6" s="126" t="s">
        <v>12</v>
      </c>
      <c r="MO6" s="104">
        <f>COUNTIF(LM6:MN6,"D")/3</f>
        <v>2</v>
      </c>
      <c r="MP6" s="104">
        <f>COUNTIF(LM6:MN6,"D")/3</f>
        <v>2</v>
      </c>
      <c r="MQ6" s="126"/>
      <c r="MR6" s="126"/>
      <c r="MS6" s="126"/>
      <c r="MT6" s="126"/>
      <c r="MU6" s="126" t="s">
        <v>12</v>
      </c>
      <c r="MV6" s="128"/>
      <c r="MW6" s="105" t="s">
        <v>12</v>
      </c>
      <c r="MX6" s="102"/>
      <c r="MY6" s="102"/>
      <c r="MZ6" s="102"/>
      <c r="NA6" s="102"/>
      <c r="NB6" s="102" t="s">
        <v>12</v>
      </c>
      <c r="NC6" s="102" t="s">
        <v>12</v>
      </c>
      <c r="ND6" s="102" t="s">
        <v>12</v>
      </c>
      <c r="NE6" s="102"/>
      <c r="NF6" s="102"/>
      <c r="NG6" s="102"/>
      <c r="NH6" s="102"/>
      <c r="NI6" s="102"/>
      <c r="NJ6" s="102"/>
      <c r="NK6" s="102"/>
      <c r="NL6" s="102"/>
      <c r="NM6" s="102"/>
      <c r="NN6" s="102"/>
      <c r="NO6" s="102"/>
      <c r="NP6" s="102"/>
      <c r="NQ6" s="102"/>
      <c r="NR6" s="102"/>
      <c r="NS6" s="102"/>
      <c r="NT6" s="102"/>
      <c r="NU6" s="102"/>
      <c r="NV6" s="102"/>
      <c r="NW6" s="102"/>
      <c r="NX6" s="102"/>
      <c r="NY6" s="102"/>
      <c r="NZ6" s="104">
        <f>COUNTIF(MQ6:NY6,"D")/3</f>
        <v>1.666666667</v>
      </c>
      <c r="OA6" s="104">
        <f>COUNTIF(MQ6:NY6,"D")/3</f>
        <v>1.666666667</v>
      </c>
      <c r="OB6" s="113"/>
      <c r="OC6" s="106"/>
      <c r="OD6" s="104">
        <f t="shared" ref="OD6:OE6" si="1">SUM(AF6,BJ6,CU6,DY6,FC6,GN6,HR6,IV6,KG6,LK6,MO6,NZ6)</f>
        <v>29.33333333</v>
      </c>
      <c r="OE6" s="104">
        <f t="shared" si="1"/>
        <v>29.33333333</v>
      </c>
    </row>
    <row r="7" ht="26.25" customHeight="1">
      <c r="A7" s="73"/>
      <c r="B7" s="74"/>
      <c r="C7" s="114"/>
      <c r="D7" s="130"/>
      <c r="E7" s="131"/>
      <c r="F7" s="132"/>
      <c r="G7" s="132"/>
      <c r="H7" s="133"/>
      <c r="I7" s="131"/>
      <c r="J7" s="132"/>
      <c r="K7" s="132"/>
      <c r="L7" s="134"/>
      <c r="M7" s="131"/>
      <c r="N7" s="135"/>
      <c r="O7" s="136"/>
      <c r="P7" s="116"/>
      <c r="Q7" s="137"/>
      <c r="R7" s="136"/>
      <c r="S7" s="136"/>
      <c r="T7" s="136"/>
      <c r="U7" s="136"/>
      <c r="V7" s="136"/>
      <c r="W7" s="116"/>
      <c r="X7" s="136"/>
      <c r="Y7" s="136"/>
      <c r="Z7" s="136"/>
      <c r="AA7" s="136"/>
      <c r="AB7" s="136"/>
      <c r="AC7" s="136"/>
      <c r="AD7" s="136"/>
      <c r="AE7" s="136"/>
      <c r="AF7" s="138"/>
      <c r="AG7" s="138"/>
      <c r="AH7" s="139"/>
      <c r="AI7" s="140"/>
      <c r="AJ7" s="141"/>
      <c r="AK7" s="142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1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8"/>
      <c r="BK7" s="138"/>
      <c r="BL7" s="116"/>
      <c r="BM7" s="136"/>
      <c r="BN7" s="136"/>
      <c r="BO7" s="136"/>
      <c r="BP7" s="143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7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44"/>
      <c r="CO7" s="145"/>
      <c r="CP7" s="136"/>
      <c r="CQ7" s="136"/>
      <c r="CR7" s="136"/>
      <c r="CS7" s="144"/>
      <c r="CT7" s="145"/>
      <c r="CU7" s="138"/>
      <c r="CV7" s="138"/>
      <c r="CW7" s="143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46"/>
      <c r="DI7" s="136"/>
      <c r="DJ7" s="136"/>
      <c r="DK7" s="147"/>
      <c r="DL7" s="148"/>
      <c r="DM7" s="136"/>
      <c r="DN7" s="136"/>
      <c r="DO7" s="136"/>
      <c r="DP7" s="136"/>
      <c r="DQ7" s="136"/>
      <c r="DR7" s="149"/>
      <c r="DS7" s="136"/>
      <c r="DT7" s="136"/>
      <c r="DU7" s="136"/>
      <c r="DV7" s="136"/>
      <c r="DW7" s="136"/>
      <c r="DX7" s="136"/>
      <c r="DY7" s="138"/>
      <c r="DZ7" s="138"/>
      <c r="EA7" s="136"/>
      <c r="EB7" s="141"/>
      <c r="EC7" s="115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50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38"/>
      <c r="FD7" s="138"/>
      <c r="FE7" s="116"/>
      <c r="FF7" s="116"/>
      <c r="FG7" s="116"/>
      <c r="FH7" s="120"/>
      <c r="FI7" s="118"/>
      <c r="FJ7" s="143"/>
      <c r="FK7" s="136"/>
      <c r="FL7" s="137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7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40"/>
      <c r="GN7" s="138"/>
      <c r="GO7" s="138"/>
      <c r="GP7" s="143"/>
      <c r="GQ7" s="136"/>
      <c r="GR7" s="137"/>
      <c r="GS7" s="136"/>
      <c r="GT7" s="136"/>
      <c r="GU7" s="136"/>
      <c r="GV7" s="136"/>
      <c r="GW7" s="136"/>
      <c r="GX7" s="136"/>
      <c r="GY7" s="136"/>
      <c r="GZ7" s="136"/>
      <c r="HA7" s="136"/>
      <c r="HB7" s="136"/>
      <c r="HC7" s="137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6"/>
      <c r="HR7" s="138"/>
      <c r="HS7" s="138"/>
      <c r="HT7" s="136"/>
      <c r="HU7" s="140"/>
      <c r="HV7" s="141"/>
      <c r="HW7" s="143"/>
      <c r="HX7" s="136"/>
      <c r="HY7" s="137"/>
      <c r="HZ7" s="136"/>
      <c r="IA7" s="136"/>
      <c r="IB7" s="136"/>
      <c r="IC7" s="136"/>
      <c r="ID7" s="136"/>
      <c r="IE7" s="136"/>
      <c r="IF7" s="136"/>
      <c r="IG7" s="136"/>
      <c r="IH7" s="136"/>
      <c r="II7" s="136"/>
      <c r="IJ7" s="137"/>
      <c r="IK7" s="136"/>
      <c r="IL7" s="136"/>
      <c r="IM7" s="136"/>
      <c r="IN7" s="136"/>
      <c r="IO7" s="136"/>
      <c r="IP7" s="136"/>
      <c r="IQ7" s="136"/>
      <c r="IR7" s="136"/>
      <c r="IS7" s="136"/>
      <c r="IT7" s="136"/>
      <c r="IU7" s="136"/>
      <c r="IV7" s="138"/>
      <c r="IW7" s="138"/>
      <c r="IX7" s="136"/>
      <c r="IY7" s="136"/>
      <c r="IZ7" s="136"/>
      <c r="JA7" s="136"/>
      <c r="JB7" s="140"/>
      <c r="JC7" s="141"/>
      <c r="JD7" s="143"/>
      <c r="JE7" s="136"/>
      <c r="JF7" s="137"/>
      <c r="JG7" s="136"/>
      <c r="JH7" s="136"/>
      <c r="JI7" s="136"/>
      <c r="JJ7" s="136"/>
      <c r="JK7" s="136"/>
      <c r="JL7" s="136"/>
      <c r="JM7" s="136"/>
      <c r="JN7" s="136"/>
      <c r="JO7" s="136"/>
      <c r="JP7" s="136"/>
      <c r="JQ7" s="137"/>
      <c r="JR7" s="136"/>
      <c r="JS7" s="136"/>
      <c r="JT7" s="136"/>
      <c r="JU7" s="136"/>
      <c r="JV7" s="136"/>
      <c r="JW7" s="136"/>
      <c r="JX7" s="136"/>
      <c r="JY7" s="136"/>
      <c r="JZ7" s="136"/>
      <c r="KA7" s="136"/>
      <c r="KB7" s="136"/>
      <c r="KC7" s="136"/>
      <c r="KD7" s="136"/>
      <c r="KE7" s="136"/>
      <c r="KF7" s="136"/>
      <c r="KG7" s="138"/>
      <c r="KH7" s="138"/>
      <c r="KI7" s="140"/>
      <c r="KJ7" s="143"/>
      <c r="KK7" s="136"/>
      <c r="KL7" s="137"/>
      <c r="KM7" s="136"/>
      <c r="KN7" s="136"/>
      <c r="KO7" s="136"/>
      <c r="KP7" s="136"/>
      <c r="KQ7" s="136"/>
      <c r="KR7" s="136"/>
      <c r="KS7" s="136"/>
      <c r="KT7" s="136"/>
      <c r="KU7" s="136"/>
      <c r="KV7" s="136"/>
      <c r="KW7" s="137"/>
      <c r="KX7" s="136"/>
      <c r="KY7" s="136"/>
      <c r="KZ7" s="136"/>
      <c r="LA7" s="136"/>
      <c r="LB7" s="136"/>
      <c r="LC7" s="136"/>
      <c r="LD7" s="136"/>
      <c r="LE7" s="136"/>
      <c r="LF7" s="136"/>
      <c r="LG7" s="136"/>
      <c r="LH7" s="136"/>
      <c r="LI7" s="136"/>
      <c r="LJ7" s="136"/>
      <c r="LK7" s="138"/>
      <c r="LL7" s="138"/>
      <c r="LM7" s="136"/>
      <c r="LN7" s="136"/>
      <c r="LO7" s="140"/>
      <c r="LP7" s="141"/>
      <c r="LQ7" s="136"/>
      <c r="LR7" s="136"/>
      <c r="LS7" s="136"/>
      <c r="LT7" s="136"/>
      <c r="LU7" s="136"/>
      <c r="LV7" s="136"/>
      <c r="LW7" s="136"/>
      <c r="LX7" s="136"/>
      <c r="LY7" s="136"/>
      <c r="LZ7" s="136"/>
      <c r="MA7" s="136"/>
      <c r="MB7" s="136"/>
      <c r="MC7" s="136"/>
      <c r="MD7" s="137"/>
      <c r="ME7" s="136"/>
      <c r="MF7" s="136"/>
      <c r="MG7" s="136"/>
      <c r="MH7" s="136"/>
      <c r="MI7" s="136"/>
      <c r="MJ7" s="136"/>
      <c r="MK7" s="136"/>
      <c r="ML7" s="136"/>
      <c r="MM7" s="136"/>
      <c r="MN7" s="136"/>
      <c r="MO7" s="138"/>
      <c r="MP7" s="138"/>
      <c r="MQ7" s="136"/>
      <c r="MR7" s="136"/>
      <c r="MS7" s="136"/>
      <c r="MT7" s="136"/>
      <c r="MU7" s="136"/>
      <c r="MV7" s="140"/>
      <c r="MW7" s="143"/>
      <c r="MX7" s="136"/>
      <c r="MY7" s="137"/>
      <c r="MZ7" s="136"/>
      <c r="NA7" s="136"/>
      <c r="NB7" s="136"/>
      <c r="NC7" s="136"/>
      <c r="ND7" s="136"/>
      <c r="NE7" s="136"/>
      <c r="NF7" s="136"/>
      <c r="NG7" s="136"/>
      <c r="NH7" s="136"/>
      <c r="NI7" s="136"/>
      <c r="NJ7" s="137"/>
      <c r="NK7" s="136"/>
      <c r="NL7" s="136"/>
      <c r="NM7" s="136"/>
      <c r="NN7" s="136"/>
      <c r="NO7" s="136"/>
      <c r="NP7" s="136"/>
      <c r="NQ7" s="136"/>
      <c r="NR7" s="136"/>
      <c r="NS7" s="136"/>
      <c r="NT7" s="136"/>
      <c r="NU7" s="136"/>
      <c r="NV7" s="136"/>
      <c r="NW7" s="136"/>
      <c r="NX7" s="136"/>
      <c r="NY7" s="136"/>
      <c r="NZ7" s="138"/>
      <c r="OA7" s="138"/>
      <c r="OB7" s="140"/>
      <c r="OC7" s="141"/>
      <c r="OD7" s="138"/>
      <c r="OE7" s="138"/>
    </row>
    <row r="8" ht="26.25" customHeight="1">
      <c r="A8" s="98" t="s">
        <v>69</v>
      </c>
      <c r="B8" s="99" t="s">
        <v>67</v>
      </c>
      <c r="C8" s="100" t="s">
        <v>19</v>
      </c>
      <c r="D8" s="107"/>
      <c r="E8" s="102"/>
      <c r="F8" s="102"/>
      <c r="G8" s="102"/>
      <c r="H8" s="102">
        <v>2.0</v>
      </c>
      <c r="I8" s="102">
        <v>3.0</v>
      </c>
      <c r="J8" s="102">
        <v>3.0</v>
      </c>
      <c r="K8" s="102"/>
      <c r="L8" s="102"/>
      <c r="M8" s="102"/>
      <c r="N8" s="102"/>
      <c r="O8" s="102" t="s">
        <v>12</v>
      </c>
      <c r="P8" s="102" t="s">
        <v>12</v>
      </c>
      <c r="Q8" s="102" t="s">
        <v>12</v>
      </c>
      <c r="R8" s="102"/>
      <c r="S8" s="102"/>
      <c r="T8" s="102"/>
      <c r="U8" s="102"/>
      <c r="V8" s="102">
        <v>2.0</v>
      </c>
      <c r="W8" s="102">
        <v>2.0</v>
      </c>
      <c r="X8" s="102">
        <v>2.0</v>
      </c>
      <c r="Y8" s="102"/>
      <c r="Z8" s="102"/>
      <c r="AA8" s="102"/>
      <c r="AB8" s="102"/>
      <c r="AC8" s="102" t="s">
        <v>12</v>
      </c>
      <c r="AD8" s="102" t="s">
        <v>12</v>
      </c>
      <c r="AE8" s="102" t="s">
        <v>12</v>
      </c>
      <c r="AF8" s="104">
        <f>COUNTIF(D8:AE8,"D")/3</f>
        <v>2</v>
      </c>
      <c r="AG8" s="104">
        <f>COUNTIF(D8:AE8,"D")/3</f>
        <v>2</v>
      </c>
      <c r="AH8" s="105"/>
      <c r="AI8" s="113"/>
      <c r="AJ8" s="106"/>
      <c r="AK8" s="107"/>
      <c r="AL8" s="102" t="s">
        <v>12</v>
      </c>
      <c r="AM8" s="102" t="s">
        <v>12</v>
      </c>
      <c r="AN8" s="102" t="s">
        <v>12</v>
      </c>
      <c r="AO8" s="102"/>
      <c r="AP8" s="102"/>
      <c r="AQ8" s="102"/>
      <c r="AR8" s="102"/>
      <c r="AS8" s="102" t="s">
        <v>12</v>
      </c>
      <c r="AT8" s="102" t="s">
        <v>12</v>
      </c>
      <c r="AU8" s="102" t="s">
        <v>12</v>
      </c>
      <c r="AV8" s="102"/>
      <c r="AW8" s="102"/>
      <c r="AX8" s="102"/>
      <c r="AY8" s="102"/>
      <c r="AZ8" s="102">
        <v>3.0</v>
      </c>
      <c r="BA8" s="102">
        <v>3.0</v>
      </c>
      <c r="BB8" s="102">
        <v>3.0</v>
      </c>
      <c r="BC8" s="102"/>
      <c r="BD8" s="102"/>
      <c r="BE8" s="102"/>
      <c r="BF8" s="102"/>
      <c r="BG8" s="102">
        <v>2.0</v>
      </c>
      <c r="BH8" s="102">
        <v>2.0</v>
      </c>
      <c r="BI8" s="102">
        <v>2.0</v>
      </c>
      <c r="BJ8" s="104">
        <f>COUNTIF(AH8:BI8,"D")/3</f>
        <v>2</v>
      </c>
      <c r="BK8" s="104">
        <f>COUNTIF(AH8:BI8,"D")/3</f>
        <v>2</v>
      </c>
      <c r="BL8" s="102"/>
      <c r="BM8" s="102"/>
      <c r="BN8" s="102"/>
      <c r="BO8" s="102"/>
      <c r="BP8" s="105">
        <v>1.0</v>
      </c>
      <c r="BQ8" s="102">
        <v>1.0</v>
      </c>
      <c r="BR8" s="102">
        <v>1.0</v>
      </c>
      <c r="BS8" s="102"/>
      <c r="BT8" s="102"/>
      <c r="BU8" s="102"/>
      <c r="BV8" s="102"/>
      <c r="BW8" s="102" t="s">
        <v>12</v>
      </c>
      <c r="BX8" s="102" t="s">
        <v>12</v>
      </c>
      <c r="BY8" s="102" t="s">
        <v>12</v>
      </c>
      <c r="BZ8" s="102"/>
      <c r="CA8" s="102"/>
      <c r="CB8" s="102"/>
      <c r="CC8" s="102"/>
      <c r="CD8" s="102" t="s">
        <v>12</v>
      </c>
      <c r="CE8" s="102" t="s">
        <v>12</v>
      </c>
      <c r="CF8" s="102" t="s">
        <v>12</v>
      </c>
      <c r="CG8" s="102"/>
      <c r="CH8" s="102"/>
      <c r="CI8" s="102"/>
      <c r="CJ8" s="102"/>
      <c r="CK8" s="102">
        <v>2.0</v>
      </c>
      <c r="CL8" s="102">
        <v>2.0</v>
      </c>
      <c r="CM8" s="102">
        <v>2.0</v>
      </c>
      <c r="CN8" s="102"/>
      <c r="CO8" s="102"/>
      <c r="CP8" s="102"/>
      <c r="CQ8" s="102"/>
      <c r="CR8" s="102">
        <v>3.0</v>
      </c>
      <c r="CS8" s="113">
        <v>3.0</v>
      </c>
      <c r="CT8" s="106">
        <v>3.0</v>
      </c>
      <c r="CU8" s="104">
        <f>COUNTIF(BL8:CT8,"D")/3</f>
        <v>2</v>
      </c>
      <c r="CV8" s="104">
        <f>COUNTIF(BL8:CT8,"D")/3</f>
        <v>2</v>
      </c>
      <c r="CW8" s="151"/>
      <c r="CX8" s="110"/>
      <c r="CY8" s="110"/>
      <c r="CZ8" s="102"/>
      <c r="DA8" s="102" t="s">
        <v>12</v>
      </c>
      <c r="DB8" s="102" t="s">
        <v>12</v>
      </c>
      <c r="DC8" s="102" t="s">
        <v>12</v>
      </c>
      <c r="DD8" s="102"/>
      <c r="DE8" s="102"/>
      <c r="DF8" s="102"/>
      <c r="DG8" s="102"/>
      <c r="DH8" s="102" t="s">
        <v>12</v>
      </c>
      <c r="DI8" s="102" t="s">
        <v>12</v>
      </c>
      <c r="DJ8" s="102" t="s">
        <v>12</v>
      </c>
      <c r="DK8" s="102"/>
      <c r="DL8" s="102"/>
      <c r="DM8" s="102"/>
      <c r="DN8" s="102"/>
      <c r="DO8" s="102">
        <v>1.0</v>
      </c>
      <c r="DP8" s="102">
        <v>1.0</v>
      </c>
      <c r="DQ8" s="102">
        <v>1.0</v>
      </c>
      <c r="DR8" s="102"/>
      <c r="DS8" s="102"/>
      <c r="DT8" s="102"/>
      <c r="DU8" s="102"/>
      <c r="DV8" s="102">
        <v>3.0</v>
      </c>
      <c r="DW8" s="102">
        <v>3.0</v>
      </c>
      <c r="DX8" s="102">
        <v>3.0</v>
      </c>
      <c r="DY8" s="104">
        <f>COUNTIF(CW8:DX8,"D")/3</f>
        <v>2</v>
      </c>
      <c r="DZ8" s="104">
        <f>COUNTIF(CW8:DX8,"D")/3</f>
        <v>2</v>
      </c>
      <c r="EA8" s="102"/>
      <c r="EB8" s="106"/>
      <c r="EC8" s="105"/>
      <c r="ED8" s="102"/>
      <c r="EE8" s="102" t="s">
        <v>12</v>
      </c>
      <c r="EF8" s="102" t="s">
        <v>12</v>
      </c>
      <c r="EG8" s="102" t="s">
        <v>12</v>
      </c>
      <c r="EH8" s="102"/>
      <c r="EI8" s="111"/>
      <c r="EJ8" s="102"/>
      <c r="EK8" s="102"/>
      <c r="EL8" s="102">
        <v>2.0</v>
      </c>
      <c r="EM8" s="102">
        <v>2.0</v>
      </c>
      <c r="EN8" s="102">
        <v>2.0</v>
      </c>
      <c r="EO8" s="102"/>
      <c r="EP8" s="102"/>
      <c r="EQ8" s="102"/>
      <c r="ER8" s="102"/>
      <c r="ES8" s="102">
        <v>3.0</v>
      </c>
      <c r="ET8" s="102">
        <v>3.0</v>
      </c>
      <c r="EU8" s="102">
        <v>3.0</v>
      </c>
      <c r="EV8" s="102"/>
      <c r="EW8" s="102"/>
      <c r="EX8" s="102"/>
      <c r="EY8" s="102"/>
      <c r="EZ8" s="102" t="s">
        <v>12</v>
      </c>
      <c r="FA8" s="102" t="s">
        <v>12</v>
      </c>
      <c r="FB8" s="102" t="s">
        <v>12</v>
      </c>
      <c r="FC8" s="104">
        <f>COUNTIF(EA8:FB8,"D")/3</f>
        <v>2</v>
      </c>
      <c r="FD8" s="104">
        <f>COUNTIF(EA8:FB8,"D")/3</f>
        <v>2</v>
      </c>
      <c r="FE8" s="102"/>
      <c r="FF8" s="102"/>
      <c r="FG8" s="102"/>
      <c r="FH8" s="113"/>
      <c r="FI8" s="106" t="s">
        <v>12</v>
      </c>
      <c r="FJ8" s="105" t="s">
        <v>12</v>
      </c>
      <c r="FK8" s="102" t="s">
        <v>12</v>
      </c>
      <c r="FL8" s="102"/>
      <c r="FM8" s="102"/>
      <c r="FN8" s="102"/>
      <c r="FO8" s="102"/>
      <c r="FP8" s="102" t="s">
        <v>12</v>
      </c>
      <c r="FQ8" s="102" t="s">
        <v>12</v>
      </c>
      <c r="FR8" s="102" t="s">
        <v>12</v>
      </c>
      <c r="FS8" s="102"/>
      <c r="FT8" s="112"/>
      <c r="FU8" s="102"/>
      <c r="FV8" s="102"/>
      <c r="FW8" s="102" t="s">
        <v>12</v>
      </c>
      <c r="FX8" s="102" t="s">
        <v>12</v>
      </c>
      <c r="FY8" s="102" t="s">
        <v>12</v>
      </c>
      <c r="FZ8" s="102"/>
      <c r="GA8" s="102"/>
      <c r="GB8" s="102"/>
      <c r="GC8" s="102"/>
      <c r="GD8" s="102">
        <v>3.0</v>
      </c>
      <c r="GE8" s="102">
        <v>3.0</v>
      </c>
      <c r="GF8" s="102">
        <v>3.0</v>
      </c>
      <c r="GG8" s="102"/>
      <c r="GH8" s="102"/>
      <c r="GI8" s="102"/>
      <c r="GJ8" s="102"/>
      <c r="GK8" s="102">
        <v>2.0</v>
      </c>
      <c r="GL8" s="102">
        <v>2.0</v>
      </c>
      <c r="GM8" s="113">
        <v>2.0</v>
      </c>
      <c r="GN8" s="104">
        <f>COUNTIF(FE8:GM8,"D")/3</f>
        <v>3</v>
      </c>
      <c r="GO8" s="104">
        <f>COUNTIF(FE8:GM8,"D")/3</f>
        <v>3</v>
      </c>
      <c r="GP8" s="105"/>
      <c r="GQ8" s="102"/>
      <c r="GR8" s="102"/>
      <c r="GS8" s="102"/>
      <c r="GT8" s="102" t="s">
        <v>12</v>
      </c>
      <c r="GU8" s="102" t="s">
        <v>12</v>
      </c>
      <c r="GV8" s="102" t="s">
        <v>12</v>
      </c>
      <c r="GW8" s="102"/>
      <c r="GX8" s="102"/>
      <c r="GY8" s="102"/>
      <c r="GZ8" s="102"/>
      <c r="HA8" s="102">
        <v>2.0</v>
      </c>
      <c r="HB8" s="102">
        <v>2.0</v>
      </c>
      <c r="HC8" s="102">
        <v>2.0</v>
      </c>
      <c r="HD8" s="102"/>
      <c r="HE8" s="102"/>
      <c r="HF8" s="102"/>
      <c r="HG8" s="102"/>
      <c r="HH8" s="102">
        <v>3.0</v>
      </c>
      <c r="HI8" s="102">
        <v>3.0</v>
      </c>
      <c r="HJ8" s="102">
        <v>3.0</v>
      </c>
      <c r="HK8" s="102"/>
      <c r="HL8" s="102"/>
      <c r="HM8" s="102"/>
      <c r="HN8" s="102"/>
      <c r="HO8" s="102" t="s">
        <v>12</v>
      </c>
      <c r="HP8" s="102" t="s">
        <v>12</v>
      </c>
      <c r="HQ8" s="102" t="s">
        <v>12</v>
      </c>
      <c r="HR8" s="104">
        <f>COUNTIF(GP8:HQ8,"D")/3</f>
        <v>2</v>
      </c>
      <c r="HS8" s="104">
        <f>COUNTIF(GP8:HQ8,"D")/3</f>
        <v>2</v>
      </c>
      <c r="HT8" s="102"/>
      <c r="HU8" s="113"/>
      <c r="HV8" s="106"/>
      <c r="HW8" s="105"/>
      <c r="HX8" s="102" t="s">
        <v>12</v>
      </c>
      <c r="HY8" s="102" t="s">
        <v>12</v>
      </c>
      <c r="HZ8" s="102" t="s">
        <v>12</v>
      </c>
      <c r="IA8" s="102"/>
      <c r="IB8" s="102"/>
      <c r="IC8" s="102"/>
      <c r="ID8" s="102"/>
      <c r="IE8" s="102" t="s">
        <v>12</v>
      </c>
      <c r="IF8" s="102" t="s">
        <v>12</v>
      </c>
      <c r="IG8" s="102" t="s">
        <v>12</v>
      </c>
      <c r="IH8" s="102"/>
      <c r="II8" s="102"/>
      <c r="IJ8" s="102"/>
      <c r="IK8" s="102"/>
      <c r="IL8" s="102" t="s">
        <v>12</v>
      </c>
      <c r="IM8" s="102" t="s">
        <v>12</v>
      </c>
      <c r="IN8" s="102" t="s">
        <v>12</v>
      </c>
      <c r="IO8" s="102"/>
      <c r="IP8" s="102"/>
      <c r="IQ8" s="102"/>
      <c r="IR8" s="102"/>
      <c r="IS8" s="102" t="s">
        <v>12</v>
      </c>
      <c r="IT8" s="102" t="s">
        <v>12</v>
      </c>
      <c r="IU8" s="102" t="s">
        <v>12</v>
      </c>
      <c r="IV8" s="104">
        <f>COUNTIF(HT8:IU8,"D")/3</f>
        <v>4</v>
      </c>
      <c r="IW8" s="104">
        <f>COUNTIF(HT8:IU8,"D")/3</f>
        <v>4</v>
      </c>
      <c r="IX8" s="102"/>
      <c r="IY8" s="102"/>
      <c r="IZ8" s="102"/>
      <c r="JA8" s="102"/>
      <c r="JB8" s="113" t="s">
        <v>12</v>
      </c>
      <c r="JC8" s="106" t="s">
        <v>12</v>
      </c>
      <c r="JD8" s="105" t="s">
        <v>12</v>
      </c>
      <c r="JE8" s="102"/>
      <c r="JF8" s="102"/>
      <c r="JG8" s="102"/>
      <c r="JH8" s="102"/>
      <c r="JI8" s="102" t="s">
        <v>12</v>
      </c>
      <c r="JJ8" s="102" t="s">
        <v>12</v>
      </c>
      <c r="JK8" s="102" t="s">
        <v>12</v>
      </c>
      <c r="JL8" s="102"/>
      <c r="JM8" s="102"/>
      <c r="JN8" s="102"/>
      <c r="JO8" s="102"/>
      <c r="JP8" s="102">
        <v>3.0</v>
      </c>
      <c r="JQ8" s="102">
        <v>3.0</v>
      </c>
      <c r="JR8" s="102"/>
      <c r="JS8" s="102"/>
      <c r="JT8" s="102"/>
      <c r="JU8" s="102"/>
      <c r="JV8" s="102"/>
      <c r="JW8" s="102" t="s">
        <v>12</v>
      </c>
      <c r="JX8" s="102" t="s">
        <v>12</v>
      </c>
      <c r="JY8" s="102" t="s">
        <v>12</v>
      </c>
      <c r="JZ8" s="102"/>
      <c r="KA8" s="102"/>
      <c r="KB8" s="102"/>
      <c r="KC8" s="102"/>
      <c r="KD8" s="102">
        <v>2.0</v>
      </c>
      <c r="KE8" s="102">
        <v>2.0</v>
      </c>
      <c r="KF8" s="102">
        <v>2.0</v>
      </c>
      <c r="KG8" s="104">
        <f>COUNTIF(IX8:KF8,"D")/3</f>
        <v>3</v>
      </c>
      <c r="KH8" s="104">
        <f>COUNTIF(IX8:KF8,"D")/3</f>
        <v>3</v>
      </c>
      <c r="KI8" s="113"/>
      <c r="KJ8" s="105"/>
      <c r="KK8" s="102"/>
      <c r="KL8" s="102"/>
      <c r="KM8" s="102">
        <v>2.0</v>
      </c>
      <c r="KN8" s="102">
        <v>2.0</v>
      </c>
      <c r="KO8" s="102">
        <v>2.0</v>
      </c>
      <c r="KP8" s="102"/>
      <c r="KQ8" s="102"/>
      <c r="KR8" s="102"/>
      <c r="KS8" s="102"/>
      <c r="KT8" s="102">
        <v>3.0</v>
      </c>
      <c r="KU8" s="102">
        <v>3.0</v>
      </c>
      <c r="KV8" s="102">
        <v>3.0</v>
      </c>
      <c r="KW8" s="102"/>
      <c r="KX8" s="102"/>
      <c r="KY8" s="102"/>
      <c r="KZ8" s="102"/>
      <c r="LA8" s="102" t="s">
        <v>12</v>
      </c>
      <c r="LB8" s="102" t="s">
        <v>12</v>
      </c>
      <c r="LC8" s="102" t="s">
        <v>12</v>
      </c>
      <c r="LD8" s="102"/>
      <c r="LE8" s="102"/>
      <c r="LF8" s="102"/>
      <c r="LG8" s="102"/>
      <c r="LH8" s="102" t="s">
        <v>12</v>
      </c>
      <c r="LI8" s="102" t="s">
        <v>12</v>
      </c>
      <c r="LJ8" s="102" t="s">
        <v>12</v>
      </c>
      <c r="LK8" s="104">
        <f>COUNTIF(KI8:LJ8,"D")/3</f>
        <v>2</v>
      </c>
      <c r="LL8" s="104">
        <f>COUNTIF(KI8:LJ8,"D")/3</f>
        <v>2</v>
      </c>
      <c r="LM8" s="102"/>
      <c r="LN8" s="102"/>
      <c r="LO8" s="113"/>
      <c r="LP8" s="106"/>
      <c r="LQ8" s="102">
        <v>1.0</v>
      </c>
      <c r="LR8" s="102">
        <v>1.0</v>
      </c>
      <c r="LS8" s="102">
        <v>1.0</v>
      </c>
      <c r="LT8" s="102"/>
      <c r="LU8" s="102"/>
      <c r="LV8" s="102"/>
      <c r="LW8" s="102"/>
      <c r="LX8" s="102">
        <v>3.0</v>
      </c>
      <c r="LY8" s="102">
        <v>3.0</v>
      </c>
      <c r="LZ8" s="102">
        <v>3.0</v>
      </c>
      <c r="MA8" s="102"/>
      <c r="MB8" s="102"/>
      <c r="MC8" s="102"/>
      <c r="MD8" s="102"/>
      <c r="ME8" s="102" t="s">
        <v>12</v>
      </c>
      <c r="MF8" s="102" t="s">
        <v>12</v>
      </c>
      <c r="MG8" s="102" t="s">
        <v>12</v>
      </c>
      <c r="MH8" s="102"/>
      <c r="MI8" s="102"/>
      <c r="MJ8" s="102"/>
      <c r="MK8" s="102"/>
      <c r="ML8" s="102" t="s">
        <v>12</v>
      </c>
      <c r="MM8" s="102" t="s">
        <v>12</v>
      </c>
      <c r="MN8" s="102" t="s">
        <v>12</v>
      </c>
      <c r="MO8" s="104">
        <f>COUNTIF(LM8:MN8,"D")/3</f>
        <v>2</v>
      </c>
      <c r="MP8" s="104">
        <f>COUNTIF(LM8:MN8,"D")/3</f>
        <v>2</v>
      </c>
      <c r="MQ8" s="102"/>
      <c r="MR8" s="102"/>
      <c r="MS8" s="102"/>
      <c r="MT8" s="102"/>
      <c r="MU8" s="102">
        <v>2.0</v>
      </c>
      <c r="MV8" s="113">
        <v>2.0</v>
      </c>
      <c r="MW8" s="105">
        <v>2.0</v>
      </c>
      <c r="MX8" s="102"/>
      <c r="MY8" s="102"/>
      <c r="MZ8" s="102"/>
      <c r="NA8" s="102"/>
      <c r="NB8" s="102" t="s">
        <v>12</v>
      </c>
      <c r="NC8" s="102" t="s">
        <v>12</v>
      </c>
      <c r="ND8" s="102" t="s">
        <v>12</v>
      </c>
      <c r="NE8" s="102"/>
      <c r="NF8" s="102"/>
      <c r="NG8" s="102"/>
      <c r="NH8" s="102"/>
      <c r="NI8" s="102" t="s">
        <v>12</v>
      </c>
      <c r="NJ8" s="102" t="s">
        <v>12</v>
      </c>
      <c r="NK8" s="102" t="s">
        <v>12</v>
      </c>
      <c r="NL8" s="102"/>
      <c r="NM8" s="102"/>
      <c r="NN8" s="102"/>
      <c r="NO8" s="102"/>
      <c r="NP8" s="102" t="s">
        <v>12</v>
      </c>
      <c r="NQ8" s="102" t="s">
        <v>12</v>
      </c>
      <c r="NR8" s="102" t="s">
        <v>12</v>
      </c>
      <c r="NS8" s="102"/>
      <c r="NT8" s="102"/>
      <c r="NU8" s="102"/>
      <c r="NV8" s="102"/>
      <c r="NW8" s="102"/>
      <c r="NX8" s="102"/>
      <c r="NY8" s="102"/>
      <c r="NZ8" s="104">
        <f>COUNTIF(MQ8:NY8,"D")/3</f>
        <v>3</v>
      </c>
      <c r="OA8" s="104">
        <f>COUNTIF(MQ8:NY8,"D")/3</f>
        <v>3</v>
      </c>
      <c r="OB8" s="113"/>
      <c r="OC8" s="106"/>
      <c r="OD8" s="104">
        <f t="shared" ref="OD8:OE8" si="2">SUM(AF8,BJ8,CU8,DY8,FC8,GN8,HR8,IV8,KG8,LK8,MO8,NZ8)</f>
        <v>29</v>
      </c>
      <c r="OE8" s="104">
        <f t="shared" si="2"/>
        <v>29</v>
      </c>
    </row>
    <row r="9" ht="26.25" customHeight="1">
      <c r="A9" s="73"/>
      <c r="B9" s="74"/>
      <c r="C9" s="114"/>
      <c r="D9" s="142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7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8"/>
      <c r="AG9" s="138"/>
      <c r="AH9" s="143"/>
      <c r="AI9" s="140"/>
      <c r="AJ9" s="141"/>
      <c r="AK9" s="142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8"/>
      <c r="BK9" s="138"/>
      <c r="BL9" s="152"/>
      <c r="BM9" s="152"/>
      <c r="BN9" s="152"/>
      <c r="BO9" s="152"/>
      <c r="BP9" s="143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7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40"/>
      <c r="CT9" s="141"/>
      <c r="CU9" s="138"/>
      <c r="CV9" s="138"/>
      <c r="CW9" s="143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7"/>
      <c r="DK9" s="136"/>
      <c r="DL9" s="136"/>
      <c r="DM9" s="136"/>
      <c r="DN9" s="136"/>
      <c r="DO9" s="136"/>
      <c r="DP9" s="136"/>
      <c r="DQ9" s="136"/>
      <c r="DR9" s="136"/>
      <c r="DS9" s="136"/>
      <c r="DT9" s="136"/>
      <c r="DU9" s="136"/>
      <c r="DV9" s="136"/>
      <c r="DW9" s="136"/>
      <c r="DX9" s="116"/>
      <c r="DY9" s="138"/>
      <c r="DZ9" s="138"/>
      <c r="EA9" s="136"/>
      <c r="EB9" s="141"/>
      <c r="EC9" s="115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50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38"/>
      <c r="FD9" s="138"/>
      <c r="FE9" s="116"/>
      <c r="FF9" s="116"/>
      <c r="FG9" s="116"/>
      <c r="FH9" s="120"/>
      <c r="FI9" s="118"/>
      <c r="FJ9" s="143"/>
      <c r="FK9" s="136"/>
      <c r="FL9" s="136"/>
      <c r="FM9" s="136"/>
      <c r="FN9" s="136"/>
      <c r="FO9" s="136"/>
      <c r="FP9" s="136"/>
      <c r="FQ9" s="136"/>
      <c r="FR9" s="136"/>
      <c r="FS9" s="136"/>
      <c r="FT9" s="136"/>
      <c r="FU9" s="136"/>
      <c r="FV9" s="136"/>
      <c r="FW9" s="137"/>
      <c r="FX9" s="136"/>
      <c r="FY9" s="136">
        <v>1.0</v>
      </c>
      <c r="FZ9" s="136"/>
      <c r="GA9" s="136"/>
      <c r="GB9" s="136"/>
      <c r="GC9" s="136"/>
      <c r="GD9" s="136"/>
      <c r="GE9" s="136"/>
      <c r="GF9" s="136"/>
      <c r="GG9" s="136"/>
      <c r="GH9" s="136"/>
      <c r="GI9" s="136"/>
      <c r="GJ9" s="116"/>
      <c r="GK9" s="136"/>
      <c r="GL9" s="136"/>
      <c r="GM9" s="140"/>
      <c r="GN9" s="138"/>
      <c r="GO9" s="138"/>
      <c r="GP9" s="143"/>
      <c r="GQ9" s="136"/>
      <c r="GR9" s="136"/>
      <c r="GS9" s="136"/>
      <c r="GT9" s="136"/>
      <c r="GU9" s="136"/>
      <c r="GV9" s="136"/>
      <c r="GW9" s="136"/>
      <c r="GX9" s="136"/>
      <c r="GY9" s="136"/>
      <c r="GZ9" s="136"/>
      <c r="HA9" s="136"/>
      <c r="HB9" s="136"/>
      <c r="HC9" s="137"/>
      <c r="HD9" s="136"/>
      <c r="HE9" s="136"/>
      <c r="HF9" s="136"/>
      <c r="HG9" s="136"/>
      <c r="HH9" s="136"/>
      <c r="HI9" s="136"/>
      <c r="HJ9" s="136"/>
      <c r="HK9" s="136"/>
      <c r="HL9" s="136"/>
      <c r="HM9" s="136"/>
      <c r="HN9" s="136"/>
      <c r="HO9" s="136"/>
      <c r="HP9" s="136"/>
      <c r="HQ9" s="136"/>
      <c r="HR9" s="138"/>
      <c r="HS9" s="138"/>
      <c r="HT9" s="136"/>
      <c r="HU9" s="140"/>
      <c r="HV9" s="141"/>
      <c r="HW9" s="143"/>
      <c r="HX9" s="136"/>
      <c r="HY9" s="136"/>
      <c r="HZ9" s="136"/>
      <c r="IA9" s="136"/>
      <c r="IB9" s="136"/>
      <c r="IC9" s="136"/>
      <c r="ID9" s="136"/>
      <c r="IE9" s="136"/>
      <c r="IF9" s="136"/>
      <c r="IG9" s="136"/>
      <c r="IH9" s="136"/>
      <c r="II9" s="136"/>
      <c r="IJ9" s="137"/>
      <c r="IK9" s="136"/>
      <c r="IL9" s="136"/>
      <c r="IM9" s="136"/>
      <c r="IN9" s="136"/>
      <c r="IO9" s="136"/>
      <c r="IP9" s="136"/>
      <c r="IQ9" s="136"/>
      <c r="IR9" s="136"/>
      <c r="IS9" s="136"/>
      <c r="IT9" s="136"/>
      <c r="IU9" s="136"/>
      <c r="IV9" s="138"/>
      <c r="IW9" s="138"/>
      <c r="IX9" s="136"/>
      <c r="IY9" s="136"/>
      <c r="IZ9" s="136"/>
      <c r="JA9" s="136"/>
      <c r="JB9" s="140"/>
      <c r="JC9" s="141"/>
      <c r="JD9" s="143">
        <v>1.0</v>
      </c>
      <c r="JE9" s="136"/>
      <c r="JF9" s="136"/>
      <c r="JG9" s="136"/>
      <c r="JH9" s="136"/>
      <c r="JI9" s="136"/>
      <c r="JJ9" s="136"/>
      <c r="JK9" s="136"/>
      <c r="JL9" s="136"/>
      <c r="JM9" s="136"/>
      <c r="JN9" s="136"/>
      <c r="JO9" s="136"/>
      <c r="JP9" s="136"/>
      <c r="JQ9" s="137"/>
      <c r="JR9" s="136"/>
      <c r="JS9" s="136"/>
      <c r="JT9" s="136"/>
      <c r="JU9" s="136"/>
      <c r="JV9" s="136"/>
      <c r="JW9" s="136"/>
      <c r="JX9" s="136"/>
      <c r="JY9" s="136"/>
      <c r="JZ9" s="136"/>
      <c r="KA9" s="136"/>
      <c r="KB9" s="136"/>
      <c r="KC9" s="136"/>
      <c r="KD9" s="136"/>
      <c r="KE9" s="136"/>
      <c r="KF9" s="136"/>
      <c r="KG9" s="138"/>
      <c r="KH9" s="138"/>
      <c r="KI9" s="140"/>
      <c r="KJ9" s="143"/>
      <c r="KK9" s="136"/>
      <c r="KL9" s="136"/>
      <c r="KM9" s="136"/>
      <c r="KN9" s="136"/>
      <c r="KO9" s="136"/>
      <c r="KP9" s="136"/>
      <c r="KQ9" s="136"/>
      <c r="KR9" s="136"/>
      <c r="KS9" s="136"/>
      <c r="KT9" s="136"/>
      <c r="KU9" s="136"/>
      <c r="KV9" s="136"/>
      <c r="KW9" s="137"/>
      <c r="KX9" s="136"/>
      <c r="KY9" s="136"/>
      <c r="KZ9" s="136"/>
      <c r="LA9" s="136"/>
      <c r="LB9" s="136"/>
      <c r="LC9" s="136"/>
      <c r="LD9" s="136"/>
      <c r="LE9" s="136"/>
      <c r="LF9" s="136"/>
      <c r="LG9" s="136"/>
      <c r="LH9" s="136"/>
      <c r="LI9" s="136"/>
      <c r="LJ9" s="136"/>
      <c r="LK9" s="138"/>
      <c r="LL9" s="138"/>
      <c r="LM9" s="136"/>
      <c r="LN9" s="136"/>
      <c r="LO9" s="140"/>
      <c r="LP9" s="141"/>
      <c r="LQ9" s="136"/>
      <c r="LR9" s="136"/>
      <c r="LS9" s="136"/>
      <c r="LT9" s="136"/>
      <c r="LU9" s="136"/>
      <c r="LV9" s="136"/>
      <c r="LW9" s="136"/>
      <c r="LX9" s="136"/>
      <c r="LY9" s="136"/>
      <c r="LZ9" s="136"/>
      <c r="MA9" s="136"/>
      <c r="MB9" s="136"/>
      <c r="MC9" s="136"/>
      <c r="MD9" s="137"/>
      <c r="ME9" s="136"/>
      <c r="MF9" s="136"/>
      <c r="MG9" s="136"/>
      <c r="MH9" s="136"/>
      <c r="MI9" s="136"/>
      <c r="MJ9" s="136"/>
      <c r="MK9" s="136"/>
      <c r="ML9" s="136"/>
      <c r="MM9" s="136"/>
      <c r="MN9" s="136"/>
      <c r="MO9" s="138"/>
      <c r="MP9" s="138"/>
      <c r="MQ9" s="136"/>
      <c r="MR9" s="136"/>
      <c r="MS9" s="136"/>
      <c r="MT9" s="136"/>
      <c r="MU9" s="136"/>
      <c r="MV9" s="140"/>
      <c r="MW9" s="143"/>
      <c r="MX9" s="136"/>
      <c r="MY9" s="136"/>
      <c r="MZ9" s="136"/>
      <c r="NA9" s="136"/>
      <c r="NB9" s="136"/>
      <c r="NC9" s="136"/>
      <c r="ND9" s="136"/>
      <c r="NE9" s="136"/>
      <c r="NF9" s="136"/>
      <c r="NG9" s="136"/>
      <c r="NH9" s="136"/>
      <c r="NI9" s="136"/>
      <c r="NJ9" s="137"/>
      <c r="NK9" s="136"/>
      <c r="NL9" s="136"/>
      <c r="NM9" s="136"/>
      <c r="NN9" s="136"/>
      <c r="NO9" s="136"/>
      <c r="NP9" s="136"/>
      <c r="NQ9" s="136"/>
      <c r="NR9" s="136"/>
      <c r="NS9" s="136"/>
      <c r="NT9" s="136"/>
      <c r="NU9" s="136"/>
      <c r="NV9" s="136"/>
      <c r="NW9" s="136"/>
      <c r="NX9" s="136"/>
      <c r="NY9" s="136"/>
      <c r="NZ9" s="138"/>
      <c r="OA9" s="138"/>
      <c r="OB9" s="140"/>
      <c r="OC9" s="141"/>
      <c r="OD9" s="138"/>
      <c r="OE9" s="138"/>
    </row>
    <row r="10" ht="26.25" customHeight="1">
      <c r="A10" s="121" t="s">
        <v>70</v>
      </c>
      <c r="B10" s="122" t="s">
        <v>67</v>
      </c>
      <c r="C10" s="123" t="s">
        <v>20</v>
      </c>
      <c r="D10" s="102"/>
      <c r="E10" s="102"/>
      <c r="F10" s="102"/>
      <c r="G10" s="102"/>
      <c r="H10" s="102" t="s">
        <v>12</v>
      </c>
      <c r="I10" s="102" t="s">
        <v>12</v>
      </c>
      <c r="J10" s="102" t="s">
        <v>12</v>
      </c>
      <c r="K10" s="102"/>
      <c r="L10" s="102"/>
      <c r="M10" s="102"/>
      <c r="N10" s="102"/>
      <c r="O10" s="102" t="s">
        <v>12</v>
      </c>
      <c r="P10" s="102" t="s">
        <v>12</v>
      </c>
      <c r="Q10" s="102" t="s">
        <v>12</v>
      </c>
      <c r="R10" s="102"/>
      <c r="S10" s="102"/>
      <c r="T10" s="102"/>
      <c r="U10" s="102"/>
      <c r="V10" s="102">
        <v>3.0</v>
      </c>
      <c r="W10" s="102">
        <v>3.0</v>
      </c>
      <c r="X10" s="102">
        <v>3.0</v>
      </c>
      <c r="Y10" s="102"/>
      <c r="Z10" s="102"/>
      <c r="AA10" s="111"/>
      <c r="AB10" s="111"/>
      <c r="AC10" s="102">
        <v>1.0</v>
      </c>
      <c r="AD10" s="102">
        <v>1.0</v>
      </c>
      <c r="AE10" s="102">
        <v>1.0</v>
      </c>
      <c r="AF10" s="104">
        <f>COUNTIF(D10:AE10,"D")/3</f>
        <v>2</v>
      </c>
      <c r="AG10" s="104">
        <f>COUNTIF(D10:AE10,"D")/3</f>
        <v>2</v>
      </c>
      <c r="AH10" s="153"/>
      <c r="AI10" s="154"/>
      <c r="AJ10" s="155"/>
      <c r="AK10" s="107"/>
      <c r="AL10" s="102">
        <v>1.0</v>
      </c>
      <c r="AM10" s="102">
        <v>1.0</v>
      </c>
      <c r="AN10" s="102">
        <v>1.0</v>
      </c>
      <c r="AO10" s="102"/>
      <c r="AP10" s="102"/>
      <c r="AQ10" s="102"/>
      <c r="AR10" s="111"/>
      <c r="AS10" s="102" t="s">
        <v>12</v>
      </c>
      <c r="AT10" s="102" t="s">
        <v>12</v>
      </c>
      <c r="AU10" s="102" t="s">
        <v>12</v>
      </c>
      <c r="AV10" s="102">
        <v>1.0</v>
      </c>
      <c r="AW10" s="102">
        <v>1.0</v>
      </c>
      <c r="AX10" s="111"/>
      <c r="AY10" s="102"/>
      <c r="AZ10" s="102" t="s">
        <v>12</v>
      </c>
      <c r="BA10" s="102" t="s">
        <v>12</v>
      </c>
      <c r="BB10" s="102" t="s">
        <v>12</v>
      </c>
      <c r="BC10" s="102"/>
      <c r="BD10" s="102"/>
      <c r="BE10" s="112"/>
      <c r="BF10" s="102"/>
      <c r="BG10" s="102">
        <v>3.0</v>
      </c>
      <c r="BH10" s="102">
        <v>3.0</v>
      </c>
      <c r="BI10" s="102">
        <v>3.0</v>
      </c>
      <c r="BJ10" s="104">
        <f>COUNTIF(AH10:BI10,"D")/3</f>
        <v>2</v>
      </c>
      <c r="BK10" s="104">
        <f>COUNTIF(AH10:BI10,"D")/3</f>
        <v>2</v>
      </c>
      <c r="BL10" s="153"/>
      <c r="BM10" s="102"/>
      <c r="BN10" s="102"/>
      <c r="BO10" s="106"/>
      <c r="BP10" s="107">
        <v>2.0</v>
      </c>
      <c r="BQ10" s="102">
        <v>2.0</v>
      </c>
      <c r="BR10" s="102">
        <v>2.0</v>
      </c>
      <c r="BS10" s="102"/>
      <c r="BT10" s="102"/>
      <c r="BU10" s="102"/>
      <c r="BV10" s="102"/>
      <c r="BW10" s="102" t="s">
        <v>12</v>
      </c>
      <c r="BX10" s="102" t="s">
        <v>12</v>
      </c>
      <c r="BY10" s="102" t="s">
        <v>12</v>
      </c>
      <c r="BZ10" s="102"/>
      <c r="CA10" s="102"/>
      <c r="CB10" s="102"/>
      <c r="CC10" s="102"/>
      <c r="CD10" s="102">
        <v>3.0</v>
      </c>
      <c r="CE10" s="102">
        <v>3.0</v>
      </c>
      <c r="CF10" s="102"/>
      <c r="CG10" s="102"/>
      <c r="CH10" s="102"/>
      <c r="CI10" s="102"/>
      <c r="CJ10" s="156"/>
      <c r="CK10" s="102" t="s">
        <v>12</v>
      </c>
      <c r="CL10" s="102" t="s">
        <v>12</v>
      </c>
      <c r="CM10" s="102" t="s">
        <v>12</v>
      </c>
      <c r="CN10" s="102"/>
      <c r="CO10" s="111"/>
      <c r="CP10" s="102"/>
      <c r="CQ10" s="102"/>
      <c r="CR10" s="102">
        <v>2.0</v>
      </c>
      <c r="CS10" s="113">
        <v>2.0</v>
      </c>
      <c r="CT10" s="106">
        <v>2.0</v>
      </c>
      <c r="CU10" s="104">
        <f>COUNTIF(BL10:CT10,"D")/3</f>
        <v>2</v>
      </c>
      <c r="CV10" s="104">
        <f>COUNTIF(BL10:CT10,"D")/3</f>
        <v>2</v>
      </c>
      <c r="CW10" s="105"/>
      <c r="CX10" s="102"/>
      <c r="CY10" s="110"/>
      <c r="CZ10" s="102"/>
      <c r="DA10" s="102">
        <v>3.0</v>
      </c>
      <c r="DB10" s="102">
        <v>3.0</v>
      </c>
      <c r="DC10" s="102">
        <v>3.0</v>
      </c>
      <c r="DD10" s="102"/>
      <c r="DE10" s="102"/>
      <c r="DF10" s="102"/>
      <c r="DG10" s="110"/>
      <c r="DH10" s="102">
        <v>1.0</v>
      </c>
      <c r="DI10" s="102">
        <v>1.0</v>
      </c>
      <c r="DJ10" s="102">
        <v>1.0</v>
      </c>
      <c r="DK10" s="102"/>
      <c r="DL10" s="102"/>
      <c r="DM10" s="102"/>
      <c r="DN10" s="102"/>
      <c r="DO10" s="102" t="s">
        <v>12</v>
      </c>
      <c r="DP10" s="102" t="s">
        <v>12</v>
      </c>
      <c r="DQ10" s="156" t="s">
        <v>12</v>
      </c>
      <c r="DR10" s="102"/>
      <c r="DS10" s="102"/>
      <c r="DT10" s="102"/>
      <c r="DU10" s="102"/>
      <c r="DV10" s="102" t="s">
        <v>68</v>
      </c>
      <c r="DW10" s="102" t="s">
        <v>12</v>
      </c>
      <c r="DX10" s="102" t="s">
        <v>12</v>
      </c>
      <c r="DY10" s="104">
        <f>COUNTIF(CW10:DX10,"D")/3</f>
        <v>1.666666667</v>
      </c>
      <c r="DZ10" s="104">
        <f>COUNTIF(CW10:DX10,"D")/3</f>
        <v>1.666666667</v>
      </c>
      <c r="EA10" s="102"/>
      <c r="EB10" s="106"/>
      <c r="EC10" s="105"/>
      <c r="ED10" s="102"/>
      <c r="EE10" s="102" t="s">
        <v>12</v>
      </c>
      <c r="EF10" s="102">
        <v>3.0</v>
      </c>
      <c r="EG10" s="102">
        <v>3.0</v>
      </c>
      <c r="EH10" s="102"/>
      <c r="EI10" s="102"/>
      <c r="EJ10" s="102"/>
      <c r="EK10" s="102"/>
      <c r="EL10" s="102" t="s">
        <v>12</v>
      </c>
      <c r="EM10" s="102" t="s">
        <v>12</v>
      </c>
      <c r="EN10" s="102" t="s">
        <v>12</v>
      </c>
      <c r="EO10" s="102"/>
      <c r="EP10" s="102"/>
      <c r="EQ10" s="102"/>
      <c r="ER10" s="102"/>
      <c r="ES10" s="102">
        <v>1.0</v>
      </c>
      <c r="ET10" s="102">
        <v>1.0</v>
      </c>
      <c r="EU10" s="102">
        <v>1.0</v>
      </c>
      <c r="EV10" s="102"/>
      <c r="EW10" s="156"/>
      <c r="EX10" s="102"/>
      <c r="EY10" s="102"/>
      <c r="EZ10" s="102" t="s">
        <v>12</v>
      </c>
      <c r="FA10" s="102" t="s">
        <v>12</v>
      </c>
      <c r="FB10" s="102" t="s">
        <v>12</v>
      </c>
      <c r="FC10" s="104">
        <f>COUNTIF(EA10:FB10,"D")/3</f>
        <v>2.333333333</v>
      </c>
      <c r="FD10" s="104">
        <f>COUNTIF(EA10:FB10,"D")/3</f>
        <v>2.333333333</v>
      </c>
      <c r="FE10" s="102"/>
      <c r="FF10" s="102"/>
      <c r="FG10" s="102"/>
      <c r="FH10" s="102"/>
      <c r="FI10" s="106" t="s">
        <v>12</v>
      </c>
      <c r="FJ10" s="105" t="s">
        <v>12</v>
      </c>
      <c r="FK10" s="102" t="s">
        <v>12</v>
      </c>
      <c r="FL10" s="102"/>
      <c r="FM10" s="102"/>
      <c r="FN10" s="102"/>
      <c r="FO10" s="102"/>
      <c r="FP10" s="102" t="s">
        <v>12</v>
      </c>
      <c r="FQ10" s="102" t="s">
        <v>12</v>
      </c>
      <c r="FR10" s="102" t="s">
        <v>12</v>
      </c>
      <c r="FS10" s="102"/>
      <c r="FT10" s="112"/>
      <c r="FU10" s="102"/>
      <c r="FV10" s="102"/>
      <c r="FW10" s="102">
        <v>1.0</v>
      </c>
      <c r="FX10" s="102" t="s">
        <v>12</v>
      </c>
      <c r="FY10" s="102" t="s">
        <v>12</v>
      </c>
      <c r="FZ10" s="102"/>
      <c r="GA10" s="102"/>
      <c r="GB10" s="102"/>
      <c r="GC10" s="102"/>
      <c r="GD10" s="102">
        <v>2.0</v>
      </c>
      <c r="GE10" s="102">
        <v>2.0</v>
      </c>
      <c r="GF10" s="102">
        <v>2.0</v>
      </c>
      <c r="GG10" s="102"/>
      <c r="GH10" s="102"/>
      <c r="GI10" s="102"/>
      <c r="GJ10" s="111"/>
      <c r="GK10" s="102" t="s">
        <v>12</v>
      </c>
      <c r="GL10" s="102" t="s">
        <v>12</v>
      </c>
      <c r="GM10" s="113" t="s">
        <v>12</v>
      </c>
      <c r="GN10" s="104">
        <f>COUNTIF(FE10:GM10,"D")/3</f>
        <v>3.666666667</v>
      </c>
      <c r="GO10" s="104">
        <f>COUNTIF(FE10:GM10,"D")/3</f>
        <v>3.666666667</v>
      </c>
      <c r="GP10" s="105"/>
      <c r="GQ10" s="102"/>
      <c r="GR10" s="102"/>
      <c r="GS10" s="102"/>
      <c r="GT10" s="102">
        <v>1.0</v>
      </c>
      <c r="GU10" s="102">
        <v>1.0</v>
      </c>
      <c r="GV10" s="102">
        <v>1.0</v>
      </c>
      <c r="GW10" s="102"/>
      <c r="GX10" s="102"/>
      <c r="GY10" s="102"/>
      <c r="GZ10" s="102"/>
      <c r="HA10" s="102" t="s">
        <v>12</v>
      </c>
      <c r="HB10" s="102" t="s">
        <v>12</v>
      </c>
      <c r="HC10" s="102" t="s">
        <v>12</v>
      </c>
      <c r="HD10" s="102"/>
      <c r="HE10" s="102"/>
      <c r="HF10" s="102"/>
      <c r="HG10" s="102"/>
      <c r="HH10" s="102" t="s">
        <v>12</v>
      </c>
      <c r="HI10" s="102" t="s">
        <v>12</v>
      </c>
      <c r="HJ10" s="102" t="s">
        <v>12</v>
      </c>
      <c r="HK10" s="102"/>
      <c r="HL10" s="102"/>
      <c r="HM10" s="102"/>
      <c r="HN10" s="102"/>
      <c r="HO10" s="102">
        <v>3.0</v>
      </c>
      <c r="HP10" s="102">
        <v>3.0</v>
      </c>
      <c r="HQ10" s="102"/>
      <c r="HR10" s="104">
        <f>COUNTIF(GP10:HQ10,"D")/3</f>
        <v>2</v>
      </c>
      <c r="HS10" s="104">
        <f>COUNTIF(GP10:HQ10,"D")/3</f>
        <v>2</v>
      </c>
      <c r="HT10" s="102"/>
      <c r="HU10" s="113"/>
      <c r="HV10" s="106"/>
      <c r="HW10" s="105"/>
      <c r="HX10" s="102" t="s">
        <v>12</v>
      </c>
      <c r="HY10" s="102" t="s">
        <v>12</v>
      </c>
      <c r="HZ10" s="102" t="s">
        <v>12</v>
      </c>
      <c r="IA10" s="102"/>
      <c r="IB10" s="102"/>
      <c r="IC10" s="102"/>
      <c r="ID10" s="102"/>
      <c r="IE10" s="102" t="s">
        <v>12</v>
      </c>
      <c r="IF10" s="102" t="s">
        <v>12</v>
      </c>
      <c r="IG10" s="102" t="s">
        <v>12</v>
      </c>
      <c r="IH10" s="102"/>
      <c r="II10" s="102"/>
      <c r="IJ10" s="102"/>
      <c r="IK10" s="102"/>
      <c r="IL10" s="102">
        <v>1.0</v>
      </c>
      <c r="IM10" s="102">
        <v>1.0</v>
      </c>
      <c r="IN10" s="102">
        <v>1.0</v>
      </c>
      <c r="IO10" s="102"/>
      <c r="IP10" s="102"/>
      <c r="IQ10" s="102"/>
      <c r="IR10" s="102"/>
      <c r="IS10" s="102" t="s">
        <v>12</v>
      </c>
      <c r="IT10" s="102" t="s">
        <v>12</v>
      </c>
      <c r="IU10" s="102" t="s">
        <v>12</v>
      </c>
      <c r="IV10" s="104">
        <f>COUNTIF(HT10:IU10,"D")/3</f>
        <v>3</v>
      </c>
      <c r="IW10" s="104">
        <f>COUNTIF(HT10:IU10,"D")/3</f>
        <v>3</v>
      </c>
      <c r="IX10" s="102"/>
      <c r="IY10" s="102"/>
      <c r="IZ10" s="102"/>
      <c r="JA10" s="102"/>
      <c r="JB10" s="113">
        <v>3.0</v>
      </c>
      <c r="JC10" s="106">
        <v>3.0</v>
      </c>
      <c r="JD10" s="105"/>
      <c r="JE10" s="102"/>
      <c r="JF10" s="102"/>
      <c r="JG10" s="102"/>
      <c r="JH10" s="102"/>
      <c r="JI10" s="102" t="s">
        <v>12</v>
      </c>
      <c r="JJ10" s="102" t="s">
        <v>12</v>
      </c>
      <c r="JK10" s="102" t="s">
        <v>12</v>
      </c>
      <c r="JL10" s="102"/>
      <c r="JM10" s="102"/>
      <c r="JN10" s="102"/>
      <c r="JO10" s="102"/>
      <c r="JP10" s="102" t="s">
        <v>12</v>
      </c>
      <c r="JQ10" s="102" t="s">
        <v>12</v>
      </c>
      <c r="JR10" s="102" t="s">
        <v>12</v>
      </c>
      <c r="JS10" s="102"/>
      <c r="JT10" s="102"/>
      <c r="JU10" s="102"/>
      <c r="JV10" s="102"/>
      <c r="JW10" s="102">
        <v>3.0</v>
      </c>
      <c r="JX10" s="102">
        <v>3.0</v>
      </c>
      <c r="JY10" s="102">
        <v>3.0</v>
      </c>
      <c r="JZ10" s="102"/>
      <c r="KA10" s="102"/>
      <c r="KB10" s="102"/>
      <c r="KC10" s="102"/>
      <c r="KD10" s="102" t="s">
        <v>12</v>
      </c>
      <c r="KE10" s="102" t="s">
        <v>12</v>
      </c>
      <c r="KF10" s="102" t="s">
        <v>12</v>
      </c>
      <c r="KG10" s="104">
        <f>COUNTIF(IX10:KF10,"D")/3</f>
        <v>3</v>
      </c>
      <c r="KH10" s="104">
        <f>COUNTIF(IX10:KF10,"D")/3</f>
        <v>3</v>
      </c>
      <c r="KI10" s="113"/>
      <c r="KJ10" s="105"/>
      <c r="KK10" s="102"/>
      <c r="KL10" s="102"/>
      <c r="KM10" s="102" t="s">
        <v>12</v>
      </c>
      <c r="KN10" s="102" t="s">
        <v>12</v>
      </c>
      <c r="KO10" s="102" t="s">
        <v>12</v>
      </c>
      <c r="KP10" s="102"/>
      <c r="KQ10" s="102"/>
      <c r="KR10" s="102"/>
      <c r="KS10" s="102"/>
      <c r="KT10" s="102" t="s">
        <v>12</v>
      </c>
      <c r="KU10" s="102" t="s">
        <v>12</v>
      </c>
      <c r="KV10" s="102" t="s">
        <v>12</v>
      </c>
      <c r="KW10" s="102"/>
      <c r="KX10" s="102"/>
      <c r="KY10" s="102"/>
      <c r="KZ10" s="102"/>
      <c r="LA10" s="102">
        <v>1.0</v>
      </c>
      <c r="LB10" s="102">
        <v>1.0</v>
      </c>
      <c r="LC10" s="102">
        <v>1.0</v>
      </c>
      <c r="LD10" s="102"/>
      <c r="LE10" s="102"/>
      <c r="LF10" s="102"/>
      <c r="LG10" s="102"/>
      <c r="LH10" s="102">
        <v>3.0</v>
      </c>
      <c r="LI10" s="102">
        <v>3.0</v>
      </c>
      <c r="LJ10" s="102">
        <v>3.0</v>
      </c>
      <c r="LK10" s="104">
        <f>COUNTIF(KI10:LJ10,"D")/3</f>
        <v>2</v>
      </c>
      <c r="LL10" s="104">
        <f>COUNTIF(KI10:LJ10,"D")/3</f>
        <v>2</v>
      </c>
      <c r="LM10" s="102"/>
      <c r="LN10" s="102"/>
      <c r="LO10" s="113"/>
      <c r="LP10" s="106"/>
      <c r="LQ10" s="102" t="s">
        <v>12</v>
      </c>
      <c r="LR10" s="102" t="s">
        <v>12</v>
      </c>
      <c r="LS10" s="102" t="s">
        <v>12</v>
      </c>
      <c r="LT10" s="102"/>
      <c r="LU10" s="102"/>
      <c r="LV10" s="102"/>
      <c r="LW10" s="102"/>
      <c r="LX10" s="102">
        <v>1.0</v>
      </c>
      <c r="LY10" s="102">
        <v>1.0</v>
      </c>
      <c r="LZ10" s="102">
        <v>1.0</v>
      </c>
      <c r="MA10" s="102"/>
      <c r="MB10" s="102"/>
      <c r="MC10" s="102"/>
      <c r="MD10" s="102"/>
      <c r="ME10" s="102" t="s">
        <v>12</v>
      </c>
      <c r="MF10" s="102" t="s">
        <v>12</v>
      </c>
      <c r="MG10" s="102" t="s">
        <v>12</v>
      </c>
      <c r="MH10" s="102"/>
      <c r="MI10" s="102"/>
      <c r="MJ10" s="102"/>
      <c r="MK10" s="102"/>
      <c r="ML10" s="102">
        <v>3.0</v>
      </c>
      <c r="MM10" s="102">
        <v>3.0</v>
      </c>
      <c r="MN10" s="102"/>
      <c r="MO10" s="104">
        <f>COUNTIF(LM10:MN10,"D")/3</f>
        <v>2</v>
      </c>
      <c r="MP10" s="104">
        <f>COUNTIF(LM10:MN10,"D")/3</f>
        <v>2</v>
      </c>
      <c r="MQ10" s="102"/>
      <c r="MR10" s="102"/>
      <c r="MS10" s="102"/>
      <c r="MT10" s="102"/>
      <c r="MU10" s="102" t="s">
        <v>12</v>
      </c>
      <c r="MV10" s="113">
        <v>1.0</v>
      </c>
      <c r="MW10" s="105">
        <v>1.0</v>
      </c>
      <c r="MX10" s="102"/>
      <c r="MY10" s="102"/>
      <c r="MZ10" s="102"/>
      <c r="NA10" s="102"/>
      <c r="NB10" s="102" t="s">
        <v>12</v>
      </c>
      <c r="NC10" s="102" t="s">
        <v>12</v>
      </c>
      <c r="ND10" s="102" t="s">
        <v>12</v>
      </c>
      <c r="NE10" s="102"/>
      <c r="NF10" s="102"/>
      <c r="NG10" s="102"/>
      <c r="NH10" s="102"/>
      <c r="NI10" s="102" t="s">
        <v>12</v>
      </c>
      <c r="NJ10" s="102" t="s">
        <v>12</v>
      </c>
      <c r="NK10" s="102" t="s">
        <v>12</v>
      </c>
      <c r="NL10" s="102"/>
      <c r="NM10" s="102"/>
      <c r="NN10" s="102"/>
      <c r="NO10" s="102"/>
      <c r="NP10" s="102" t="s">
        <v>12</v>
      </c>
      <c r="NQ10" s="102" t="s">
        <v>12</v>
      </c>
      <c r="NR10" s="102" t="s">
        <v>12</v>
      </c>
      <c r="NS10" s="102"/>
      <c r="NT10" s="102"/>
      <c r="NU10" s="102"/>
      <c r="NV10" s="102"/>
      <c r="NW10" s="102"/>
      <c r="NX10" s="102"/>
      <c r="NY10" s="102"/>
      <c r="NZ10" s="104">
        <f>COUNTIF(MQ10:NY10,"D")/3</f>
        <v>3.333333333</v>
      </c>
      <c r="OA10" s="104">
        <f>COUNTIF(MQ10:NY10,"D")/3</f>
        <v>3.333333333</v>
      </c>
      <c r="OB10" s="113"/>
      <c r="OC10" s="106"/>
      <c r="OD10" s="104">
        <f t="shared" ref="OD10:OE10" si="3">SUM(AF10,BJ10,CU10,DY10,FC10,GN10,HR10,IV10,KG10,LK10,MO10,NZ10)</f>
        <v>29</v>
      </c>
      <c r="OE10" s="104">
        <f t="shared" si="3"/>
        <v>29</v>
      </c>
    </row>
    <row r="11" ht="26.25" customHeight="1">
      <c r="A11" s="73"/>
      <c r="B11" s="74"/>
      <c r="C11" s="114"/>
      <c r="D11" s="143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7"/>
      <c r="R11" s="136"/>
      <c r="S11" s="136"/>
      <c r="T11" s="136"/>
      <c r="U11" s="136"/>
      <c r="V11" s="136"/>
      <c r="W11" s="136"/>
      <c r="X11" s="136"/>
      <c r="Y11" s="136"/>
      <c r="Z11" s="157"/>
      <c r="AA11" s="136"/>
      <c r="AB11" s="136"/>
      <c r="AC11" s="136"/>
      <c r="AD11" s="136"/>
      <c r="AE11" s="136"/>
      <c r="AF11" s="158"/>
      <c r="AG11" s="158"/>
      <c r="AH11" s="143"/>
      <c r="AI11" s="140"/>
      <c r="AJ11" s="141"/>
      <c r="AK11" s="142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16"/>
      <c r="AX11" s="11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58"/>
      <c r="BK11" s="158"/>
      <c r="BL11" s="115"/>
      <c r="BM11" s="136"/>
      <c r="BN11" s="136"/>
      <c r="BO11" s="141"/>
      <c r="BP11" s="119"/>
      <c r="BQ11" s="136"/>
      <c r="BR11" s="116"/>
      <c r="BS11" s="136"/>
      <c r="BT11" s="136"/>
      <c r="BU11" s="136"/>
      <c r="BV11" s="136"/>
      <c r="BW11" s="136"/>
      <c r="BX11" s="157"/>
      <c r="BY11" s="136"/>
      <c r="BZ11" s="136"/>
      <c r="CA11" s="136"/>
      <c r="CB11" s="136"/>
      <c r="CC11" s="137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16"/>
      <c r="CP11" s="136"/>
      <c r="CQ11" s="136"/>
      <c r="CR11" s="136"/>
      <c r="CS11" s="140"/>
      <c r="CT11" s="141"/>
      <c r="CU11" s="158"/>
      <c r="CV11" s="158"/>
      <c r="CW11" s="143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16"/>
      <c r="DJ11" s="116"/>
      <c r="DK11" s="136"/>
      <c r="DL11" s="136"/>
      <c r="DM11" s="136"/>
      <c r="DN11" s="136"/>
      <c r="DO11" s="136"/>
      <c r="DP11" s="136"/>
      <c r="DQ11" s="136"/>
      <c r="DR11" s="136"/>
      <c r="DS11" s="136"/>
      <c r="DT11" s="136"/>
      <c r="DU11" s="136"/>
      <c r="DV11" s="136"/>
      <c r="DW11" s="136"/>
      <c r="DX11" s="136"/>
      <c r="DY11" s="158"/>
      <c r="DZ11" s="158"/>
      <c r="EA11" s="136"/>
      <c r="EB11" s="141"/>
      <c r="EC11" s="115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50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58"/>
      <c r="FD11" s="158"/>
      <c r="FE11" s="116"/>
      <c r="FF11" s="116"/>
      <c r="FG11" s="116"/>
      <c r="FH11" s="120"/>
      <c r="FI11" s="118"/>
      <c r="FJ11" s="143"/>
      <c r="FK11" s="136"/>
      <c r="FL11" s="136"/>
      <c r="FM11" s="136"/>
      <c r="FN11" s="136"/>
      <c r="FO11" s="136"/>
      <c r="FP11" s="136"/>
      <c r="FQ11" s="136"/>
      <c r="FR11" s="136"/>
      <c r="FS11" s="136"/>
      <c r="FT11" s="136"/>
      <c r="FU11" s="136"/>
      <c r="FV11" s="136"/>
      <c r="FW11" s="136"/>
      <c r="FX11" s="136"/>
      <c r="FY11" s="136"/>
      <c r="FZ11" s="136"/>
      <c r="GA11" s="136"/>
      <c r="GB11" s="136"/>
      <c r="GC11" s="136"/>
      <c r="GD11" s="136"/>
      <c r="GE11" s="136"/>
      <c r="GF11" s="136"/>
      <c r="GG11" s="136"/>
      <c r="GH11" s="136"/>
      <c r="GI11" s="136"/>
      <c r="GJ11" s="136"/>
      <c r="GK11" s="136"/>
      <c r="GL11" s="136"/>
      <c r="GM11" s="140"/>
      <c r="GN11" s="158"/>
      <c r="GO11" s="158"/>
      <c r="GP11" s="143"/>
      <c r="GQ11" s="136"/>
      <c r="GR11" s="136"/>
      <c r="GS11" s="136"/>
      <c r="GT11" s="136"/>
      <c r="GU11" s="136"/>
      <c r="GV11" s="136"/>
      <c r="GW11" s="136"/>
      <c r="GX11" s="136"/>
      <c r="GY11" s="136"/>
      <c r="GZ11" s="136"/>
      <c r="HA11" s="136"/>
      <c r="HB11" s="136"/>
      <c r="HC11" s="137"/>
      <c r="HD11" s="136"/>
      <c r="HE11" s="136"/>
      <c r="HF11" s="136"/>
      <c r="HG11" s="136"/>
      <c r="HH11" s="136"/>
      <c r="HI11" s="136"/>
      <c r="HJ11" s="136"/>
      <c r="HK11" s="136"/>
      <c r="HL11" s="136"/>
      <c r="HM11" s="136"/>
      <c r="HN11" s="136"/>
      <c r="HO11" s="136"/>
      <c r="HP11" s="136"/>
      <c r="HQ11" s="136"/>
      <c r="HR11" s="158"/>
      <c r="HS11" s="158"/>
      <c r="HT11" s="136"/>
      <c r="HU11" s="140"/>
      <c r="HV11" s="141"/>
      <c r="HW11" s="143"/>
      <c r="HX11" s="136"/>
      <c r="HY11" s="136"/>
      <c r="HZ11" s="136"/>
      <c r="IA11" s="136"/>
      <c r="IB11" s="136"/>
      <c r="IC11" s="136"/>
      <c r="ID11" s="136"/>
      <c r="IE11" s="136"/>
      <c r="IF11" s="136"/>
      <c r="IG11" s="136"/>
      <c r="IH11" s="136"/>
      <c r="II11" s="136"/>
      <c r="IJ11" s="137"/>
      <c r="IK11" s="136"/>
      <c r="IL11" s="136"/>
      <c r="IM11" s="136"/>
      <c r="IN11" s="136"/>
      <c r="IO11" s="136"/>
      <c r="IP11" s="136"/>
      <c r="IQ11" s="136"/>
      <c r="IR11" s="136"/>
      <c r="IS11" s="136"/>
      <c r="IT11" s="136"/>
      <c r="IU11" s="136"/>
      <c r="IV11" s="158"/>
      <c r="IW11" s="158"/>
      <c r="IX11" s="136"/>
      <c r="IY11" s="136"/>
      <c r="IZ11" s="136"/>
      <c r="JA11" s="136"/>
      <c r="JB11" s="140"/>
      <c r="JC11" s="141"/>
      <c r="JD11" s="143"/>
      <c r="JE11" s="136"/>
      <c r="JF11" s="136"/>
      <c r="JG11" s="136"/>
      <c r="JH11" s="136"/>
      <c r="JI11" s="136"/>
      <c r="JJ11" s="136"/>
      <c r="JK11" s="136"/>
      <c r="JL11" s="136"/>
      <c r="JM11" s="136"/>
      <c r="JN11" s="136"/>
      <c r="JO11" s="136"/>
      <c r="JP11" s="136"/>
      <c r="JQ11" s="137"/>
      <c r="JR11" s="136"/>
      <c r="JS11" s="136"/>
      <c r="JT11" s="136"/>
      <c r="JU11" s="136"/>
      <c r="JV11" s="136"/>
      <c r="JW11" s="136"/>
      <c r="JX11" s="136"/>
      <c r="JY11" s="136"/>
      <c r="JZ11" s="136"/>
      <c r="KA11" s="136"/>
      <c r="KB11" s="136"/>
      <c r="KC11" s="136"/>
      <c r="KD11" s="136"/>
      <c r="KE11" s="136"/>
      <c r="KF11" s="136"/>
      <c r="KG11" s="158"/>
      <c r="KH11" s="158"/>
      <c r="KI11" s="140"/>
      <c r="KJ11" s="143"/>
      <c r="KK11" s="136"/>
      <c r="KL11" s="136"/>
      <c r="KM11" s="136"/>
      <c r="KN11" s="136"/>
      <c r="KO11" s="136"/>
      <c r="KP11" s="136"/>
      <c r="KQ11" s="136"/>
      <c r="KR11" s="136"/>
      <c r="KS11" s="136"/>
      <c r="KT11" s="136"/>
      <c r="KU11" s="136"/>
      <c r="KV11" s="136"/>
      <c r="KW11" s="137"/>
      <c r="KX11" s="136"/>
      <c r="KY11" s="136"/>
      <c r="KZ11" s="136"/>
      <c r="LA11" s="136"/>
      <c r="LB11" s="136"/>
      <c r="LC11" s="136"/>
      <c r="LD11" s="136"/>
      <c r="LE11" s="136"/>
      <c r="LF11" s="136"/>
      <c r="LG11" s="136"/>
      <c r="LH11" s="136"/>
      <c r="LI11" s="136"/>
      <c r="LJ11" s="136"/>
      <c r="LK11" s="158"/>
      <c r="LL11" s="158"/>
      <c r="LM11" s="136"/>
      <c r="LN11" s="136"/>
      <c r="LO11" s="140"/>
      <c r="LP11" s="141"/>
      <c r="LQ11" s="136"/>
      <c r="LR11" s="136"/>
      <c r="LS11" s="136"/>
      <c r="LT11" s="136"/>
      <c r="LU11" s="136"/>
      <c r="LV11" s="136"/>
      <c r="LW11" s="136"/>
      <c r="LX11" s="136"/>
      <c r="LY11" s="136"/>
      <c r="LZ11" s="136"/>
      <c r="MA11" s="136"/>
      <c r="MB11" s="136"/>
      <c r="MC11" s="136"/>
      <c r="MD11" s="137"/>
      <c r="ME11" s="136"/>
      <c r="MF11" s="136"/>
      <c r="MG11" s="136"/>
      <c r="MH11" s="136"/>
      <c r="MI11" s="136"/>
      <c r="MJ11" s="136"/>
      <c r="MK11" s="136"/>
      <c r="ML11" s="136"/>
      <c r="MM11" s="136"/>
      <c r="MN11" s="136"/>
      <c r="MO11" s="158"/>
      <c r="MP11" s="158"/>
      <c r="MQ11" s="136"/>
      <c r="MR11" s="136"/>
      <c r="MS11" s="136"/>
      <c r="MT11" s="136"/>
      <c r="MU11" s="136"/>
      <c r="MV11" s="140"/>
      <c r="MW11" s="143"/>
      <c r="MX11" s="136"/>
      <c r="MY11" s="136"/>
      <c r="MZ11" s="136"/>
      <c r="NA11" s="136"/>
      <c r="NB11" s="136"/>
      <c r="NC11" s="136"/>
      <c r="ND11" s="136"/>
      <c r="NE11" s="136"/>
      <c r="NF11" s="136"/>
      <c r="NG11" s="136"/>
      <c r="NH11" s="136"/>
      <c r="NI11" s="136"/>
      <c r="NJ11" s="137"/>
      <c r="NK11" s="136"/>
      <c r="NL11" s="136"/>
      <c r="NM11" s="136"/>
      <c r="NN11" s="136"/>
      <c r="NO11" s="136"/>
      <c r="NP11" s="136"/>
      <c r="NQ11" s="136"/>
      <c r="NR11" s="136"/>
      <c r="NS11" s="136"/>
      <c r="NT11" s="136"/>
      <c r="NU11" s="136"/>
      <c r="NV11" s="136"/>
      <c r="NW11" s="136"/>
      <c r="NX11" s="136"/>
      <c r="NY11" s="136"/>
      <c r="NZ11" s="158"/>
      <c r="OA11" s="158"/>
      <c r="OB11" s="140"/>
      <c r="OC11" s="141"/>
      <c r="OD11" s="158"/>
      <c r="OE11" s="158"/>
    </row>
    <row r="12" ht="26.25" customHeight="1">
      <c r="A12" s="98" t="s">
        <v>71</v>
      </c>
      <c r="B12" s="99" t="s">
        <v>72</v>
      </c>
      <c r="C12" s="100" t="s">
        <v>22</v>
      </c>
      <c r="D12" s="102"/>
      <c r="E12" s="102"/>
      <c r="F12" s="102"/>
      <c r="G12" s="102"/>
      <c r="H12" s="102">
        <v>3.0</v>
      </c>
      <c r="I12" s="102">
        <v>3.0</v>
      </c>
      <c r="J12" s="102">
        <v>3.0</v>
      </c>
      <c r="K12" s="102"/>
      <c r="L12" s="102"/>
      <c r="M12" s="102"/>
      <c r="N12" s="102"/>
      <c r="O12" s="102">
        <v>1.0</v>
      </c>
      <c r="P12" s="102">
        <v>1.0</v>
      </c>
      <c r="Q12" s="102">
        <v>1.0</v>
      </c>
      <c r="R12" s="102"/>
      <c r="S12" s="102"/>
      <c r="T12" s="102"/>
      <c r="U12" s="102"/>
      <c r="V12" s="102" t="s">
        <v>12</v>
      </c>
      <c r="W12" s="102" t="s">
        <v>12</v>
      </c>
      <c r="X12" s="102" t="s">
        <v>12</v>
      </c>
      <c r="Y12" s="111"/>
      <c r="Z12" s="111"/>
      <c r="AA12" s="111"/>
      <c r="AB12" s="111"/>
      <c r="AC12" s="102" t="s">
        <v>12</v>
      </c>
      <c r="AD12" s="102" t="s">
        <v>12</v>
      </c>
      <c r="AE12" s="102" t="s">
        <v>12</v>
      </c>
      <c r="AF12" s="104">
        <f>COUNTIF(D12:AE12,"D")/3</f>
        <v>2</v>
      </c>
      <c r="AG12" s="104">
        <f>COUNTIF(D12:AE12,"D")/3</f>
        <v>2</v>
      </c>
      <c r="AH12" s="153"/>
      <c r="AI12" s="154"/>
      <c r="AJ12" s="155"/>
      <c r="AK12" s="159"/>
      <c r="AL12" s="102" t="s">
        <v>12</v>
      </c>
      <c r="AM12" s="102" t="s">
        <v>12</v>
      </c>
      <c r="AN12" s="102" t="s">
        <v>12</v>
      </c>
      <c r="AO12" s="111"/>
      <c r="AP12" s="102"/>
      <c r="AQ12" s="102"/>
      <c r="AR12" s="102"/>
      <c r="AS12" s="102">
        <v>3.0</v>
      </c>
      <c r="AT12" s="102">
        <v>3.0</v>
      </c>
      <c r="AU12" s="102"/>
      <c r="AV12" s="102"/>
      <c r="AW12" s="102"/>
      <c r="AX12" s="102"/>
      <c r="AY12" s="102"/>
      <c r="AZ12" s="102">
        <v>1.0</v>
      </c>
      <c r="BA12" s="102">
        <v>1.0</v>
      </c>
      <c r="BB12" s="102">
        <v>1.0</v>
      </c>
      <c r="BC12" s="102"/>
      <c r="BD12" s="102"/>
      <c r="BE12" s="112"/>
      <c r="BF12" s="111"/>
      <c r="BG12" s="102" t="s">
        <v>12</v>
      </c>
      <c r="BH12" s="102" t="s">
        <v>12</v>
      </c>
      <c r="BI12" s="102" t="s">
        <v>12</v>
      </c>
      <c r="BJ12" s="104">
        <f>COUNTIF(AH12:BI12,"D")/3</f>
        <v>2</v>
      </c>
      <c r="BK12" s="104">
        <f>COUNTIF(AH12:BI12,"D")/3</f>
        <v>2</v>
      </c>
      <c r="BL12" s="126"/>
      <c r="BM12" s="126"/>
      <c r="BN12" s="127"/>
      <c r="BO12" s="127"/>
      <c r="BP12" s="105" t="s">
        <v>12</v>
      </c>
      <c r="BQ12" s="102" t="s">
        <v>12</v>
      </c>
      <c r="BR12" s="102" t="s">
        <v>12</v>
      </c>
      <c r="BS12" s="102"/>
      <c r="BT12" s="102"/>
      <c r="BU12" s="102"/>
      <c r="BV12" s="102"/>
      <c r="BW12" s="102">
        <v>1.0</v>
      </c>
      <c r="BX12" s="102">
        <v>1.0</v>
      </c>
      <c r="BY12" s="102">
        <v>1.0</v>
      </c>
      <c r="BZ12" s="102"/>
      <c r="CA12" s="102"/>
      <c r="CB12" s="102"/>
      <c r="CC12" s="102"/>
      <c r="CD12" s="102" t="s">
        <v>12</v>
      </c>
      <c r="CE12" s="102" t="s">
        <v>12</v>
      </c>
      <c r="CF12" s="102" t="s">
        <v>12</v>
      </c>
      <c r="CG12" s="111"/>
      <c r="CH12" s="102"/>
      <c r="CI12" s="102"/>
      <c r="CJ12" s="156"/>
      <c r="CK12" s="102">
        <v>3.0</v>
      </c>
      <c r="CL12" s="102">
        <v>3.0</v>
      </c>
      <c r="CM12" s="111"/>
      <c r="CN12" s="102"/>
      <c r="CO12" s="111"/>
      <c r="CP12" s="111"/>
      <c r="CQ12" s="102"/>
      <c r="CR12" s="102" t="s">
        <v>12</v>
      </c>
      <c r="CS12" s="102" t="s">
        <v>12</v>
      </c>
      <c r="CT12" s="106" t="s">
        <v>12</v>
      </c>
      <c r="CU12" s="104">
        <f>COUNTIF(BL12:CT12,"D")/3</f>
        <v>3</v>
      </c>
      <c r="CV12" s="104">
        <f>COUNTIF(BL12:CT12,"D")/3</f>
        <v>3</v>
      </c>
      <c r="CW12" s="105"/>
      <c r="CX12" s="102"/>
      <c r="CY12" s="102"/>
      <c r="CZ12" s="102"/>
      <c r="DA12" s="102" t="s">
        <v>12</v>
      </c>
      <c r="DB12" s="102" t="s">
        <v>12</v>
      </c>
      <c r="DC12" s="102" t="s">
        <v>12</v>
      </c>
      <c r="DD12" s="102"/>
      <c r="DE12" s="102"/>
      <c r="DF12" s="102"/>
      <c r="DG12" s="110"/>
      <c r="DH12" s="102">
        <v>3.0</v>
      </c>
      <c r="DI12" s="102">
        <v>3.0</v>
      </c>
      <c r="DJ12" s="102"/>
      <c r="DK12" s="102"/>
      <c r="DL12" s="112"/>
      <c r="DM12" s="112"/>
      <c r="DN12" s="102"/>
      <c r="DO12" s="102" t="s">
        <v>12</v>
      </c>
      <c r="DP12" s="102" t="s">
        <v>12</v>
      </c>
      <c r="DQ12" s="156" t="s">
        <v>12</v>
      </c>
      <c r="DR12" s="102"/>
      <c r="DS12" s="102"/>
      <c r="DT12" s="102"/>
      <c r="DU12" s="102"/>
      <c r="DV12" s="102">
        <v>1.0</v>
      </c>
      <c r="DW12" s="102">
        <v>1.0</v>
      </c>
      <c r="DX12" s="102">
        <v>1.0</v>
      </c>
      <c r="DY12" s="104">
        <f>COUNTIF(CW12:DX12,"D")/3</f>
        <v>2</v>
      </c>
      <c r="DZ12" s="104">
        <f>COUNTIF(CW12:DX12,"D")/3</f>
        <v>2</v>
      </c>
      <c r="EA12" s="102"/>
      <c r="EB12" s="106"/>
      <c r="EC12" s="105"/>
      <c r="ED12" s="102"/>
      <c r="EE12" s="102" t="s">
        <v>12</v>
      </c>
      <c r="EF12" s="102" t="s">
        <v>12</v>
      </c>
      <c r="EG12" s="102" t="s">
        <v>12</v>
      </c>
      <c r="EH12" s="102"/>
      <c r="EI12" s="102"/>
      <c r="EJ12" s="102"/>
      <c r="EK12" s="102"/>
      <c r="EL12" s="102">
        <v>3.0</v>
      </c>
      <c r="EM12" s="102">
        <v>3.0</v>
      </c>
      <c r="EN12" s="102"/>
      <c r="EO12" s="102"/>
      <c r="EP12" s="102"/>
      <c r="EQ12" s="102"/>
      <c r="ER12" s="102"/>
      <c r="ES12" s="102" t="s">
        <v>12</v>
      </c>
      <c r="ET12" s="102" t="s">
        <v>12</v>
      </c>
      <c r="EU12" s="102" t="s">
        <v>12</v>
      </c>
      <c r="EV12" s="102"/>
      <c r="EW12" s="156"/>
      <c r="EX12" s="102"/>
      <c r="EY12" s="102"/>
      <c r="EZ12" s="102">
        <v>1.0</v>
      </c>
      <c r="FA12" s="102">
        <v>1.0</v>
      </c>
      <c r="FB12" s="102">
        <v>1.0</v>
      </c>
      <c r="FC12" s="104">
        <f>COUNTIF(EA12:FB12,"D")/3</f>
        <v>2</v>
      </c>
      <c r="FD12" s="104">
        <f>COUNTIF(EA12:FB12,"D")/3</f>
        <v>2</v>
      </c>
      <c r="FE12" s="102"/>
      <c r="FF12" s="102"/>
      <c r="FG12" s="102"/>
      <c r="FH12" s="102"/>
      <c r="FI12" s="106">
        <v>2.0</v>
      </c>
      <c r="FJ12" s="105">
        <v>2.0</v>
      </c>
      <c r="FK12" s="102">
        <v>2.0</v>
      </c>
      <c r="FL12" s="102"/>
      <c r="FM12" s="102"/>
      <c r="FN12" s="102"/>
      <c r="FO12" s="102"/>
      <c r="FP12" s="102">
        <v>3.0</v>
      </c>
      <c r="FQ12" s="102">
        <v>3.0</v>
      </c>
      <c r="FR12" s="102">
        <v>3.0</v>
      </c>
      <c r="FS12" s="102"/>
      <c r="FT12" s="102"/>
      <c r="FU12" s="102"/>
      <c r="FV12" s="102"/>
      <c r="FW12" s="102" t="s">
        <v>12</v>
      </c>
      <c r="FX12" s="102" t="s">
        <v>12</v>
      </c>
      <c r="FY12" s="102" t="s">
        <v>12</v>
      </c>
      <c r="FZ12" s="102"/>
      <c r="GA12" s="102"/>
      <c r="GB12" s="102"/>
      <c r="GC12" s="102"/>
      <c r="GD12" s="102">
        <v>1.0</v>
      </c>
      <c r="GE12" s="102">
        <v>1.0</v>
      </c>
      <c r="GF12" s="102">
        <v>1.0</v>
      </c>
      <c r="GG12" s="102"/>
      <c r="GH12" s="102"/>
      <c r="GI12" s="102"/>
      <c r="GJ12" s="111"/>
      <c r="GK12" s="102" t="s">
        <v>12</v>
      </c>
      <c r="GL12" s="102" t="s">
        <v>12</v>
      </c>
      <c r="GM12" s="113" t="s">
        <v>12</v>
      </c>
      <c r="GN12" s="104">
        <f>COUNTIF(FE12:GM12,"D")/3</f>
        <v>2</v>
      </c>
      <c r="GO12" s="104">
        <f>COUNTIF(FE12:GM12,"D")/3</f>
        <v>2</v>
      </c>
      <c r="GP12" s="105"/>
      <c r="GQ12" s="102"/>
      <c r="GR12" s="102"/>
      <c r="GS12" s="102"/>
      <c r="GT12" s="102">
        <v>3.0</v>
      </c>
      <c r="GU12" s="102">
        <v>3.0</v>
      </c>
      <c r="GV12" s="102">
        <v>3.0</v>
      </c>
      <c r="GW12" s="102"/>
      <c r="GX12" s="102"/>
      <c r="GY12" s="102"/>
      <c r="GZ12" s="102"/>
      <c r="HA12" s="102" t="s">
        <v>12</v>
      </c>
      <c r="HB12" s="102" t="s">
        <v>12</v>
      </c>
      <c r="HC12" s="102" t="s">
        <v>12</v>
      </c>
      <c r="HD12" s="102"/>
      <c r="HE12" s="102"/>
      <c r="HF12" s="102"/>
      <c r="HG12" s="102"/>
      <c r="HH12" s="102">
        <v>1.0</v>
      </c>
      <c r="HI12" s="102">
        <v>1.0</v>
      </c>
      <c r="HJ12" s="102">
        <v>1.0</v>
      </c>
      <c r="HK12" s="102"/>
      <c r="HL12" s="102"/>
      <c r="HM12" s="102"/>
      <c r="HN12" s="102"/>
      <c r="HO12" s="102" t="s">
        <v>12</v>
      </c>
      <c r="HP12" s="102" t="s">
        <v>12</v>
      </c>
      <c r="HQ12" s="102" t="s">
        <v>12</v>
      </c>
      <c r="HR12" s="104">
        <f>COUNTIF(GP12:HQ12,"D")/3</f>
        <v>2</v>
      </c>
      <c r="HS12" s="104">
        <f>COUNTIF(GP12:HQ12,"D")/3</f>
        <v>2</v>
      </c>
      <c r="HT12" s="102"/>
      <c r="HU12" s="113"/>
      <c r="HV12" s="106"/>
      <c r="HW12" s="105"/>
      <c r="HX12" s="102" t="s">
        <v>12</v>
      </c>
      <c r="HY12" s="102" t="s">
        <v>12</v>
      </c>
      <c r="HZ12" s="102" t="s">
        <v>12</v>
      </c>
      <c r="IA12" s="102"/>
      <c r="IB12" s="102"/>
      <c r="IC12" s="102"/>
      <c r="ID12" s="102"/>
      <c r="IE12" s="102" t="s">
        <v>12</v>
      </c>
      <c r="IF12" s="102" t="s">
        <v>12</v>
      </c>
      <c r="IG12" s="102" t="s">
        <v>12</v>
      </c>
      <c r="IH12" s="102"/>
      <c r="II12" s="102"/>
      <c r="IJ12" s="102"/>
      <c r="IK12" s="102"/>
      <c r="IL12" s="102" t="s">
        <v>12</v>
      </c>
      <c r="IM12" s="102" t="s">
        <v>12</v>
      </c>
      <c r="IN12" s="102" t="s">
        <v>12</v>
      </c>
      <c r="IO12" s="102"/>
      <c r="IP12" s="102"/>
      <c r="IQ12" s="102"/>
      <c r="IR12" s="102"/>
      <c r="IS12" s="102" t="s">
        <v>12</v>
      </c>
      <c r="IT12" s="102" t="s">
        <v>12</v>
      </c>
      <c r="IU12" s="102" t="s">
        <v>12</v>
      </c>
      <c r="IV12" s="104">
        <f>COUNTIF(HT12:IU12,"D")/3</f>
        <v>4</v>
      </c>
      <c r="IW12" s="104">
        <f>COUNTIF(HT12:IU12,"D")/3</f>
        <v>4</v>
      </c>
      <c r="IX12" s="102"/>
      <c r="IY12" s="102"/>
      <c r="IZ12" s="102"/>
      <c r="JA12" s="102"/>
      <c r="JB12" s="113" t="s">
        <v>12</v>
      </c>
      <c r="JC12" s="106" t="s">
        <v>12</v>
      </c>
      <c r="JD12" s="105" t="s">
        <v>12</v>
      </c>
      <c r="JE12" s="102"/>
      <c r="JF12" s="102"/>
      <c r="JG12" s="102"/>
      <c r="JH12" s="102"/>
      <c r="JI12" s="102" t="s">
        <v>12</v>
      </c>
      <c r="JJ12" s="102" t="s">
        <v>12</v>
      </c>
      <c r="JK12" s="102" t="s">
        <v>12</v>
      </c>
      <c r="JL12" s="102"/>
      <c r="JM12" s="102"/>
      <c r="JN12" s="102"/>
      <c r="JO12" s="102"/>
      <c r="JP12" s="102" t="s">
        <v>12</v>
      </c>
      <c r="JQ12" s="102" t="s">
        <v>12</v>
      </c>
      <c r="JR12" s="102" t="s">
        <v>12</v>
      </c>
      <c r="JS12" s="102"/>
      <c r="JT12" s="102"/>
      <c r="JU12" s="102"/>
      <c r="JV12" s="102"/>
      <c r="JW12" s="102">
        <v>3.0</v>
      </c>
      <c r="JX12" s="102">
        <v>3.0</v>
      </c>
      <c r="JY12" s="102">
        <v>3.0</v>
      </c>
      <c r="JZ12" s="102"/>
      <c r="KA12" s="102"/>
      <c r="KB12" s="102"/>
      <c r="KC12" s="102"/>
      <c r="KD12" s="102">
        <v>2.0</v>
      </c>
      <c r="KE12" s="102">
        <v>2.0</v>
      </c>
      <c r="KF12" s="102">
        <v>2.0</v>
      </c>
      <c r="KG12" s="104">
        <f>COUNTIF(IX12:KF12,"D")/3</f>
        <v>3</v>
      </c>
      <c r="KH12" s="104">
        <f>COUNTIF(IX12:KF12,"D")/3</f>
        <v>3</v>
      </c>
      <c r="KI12" s="113"/>
      <c r="KJ12" s="105"/>
      <c r="KK12" s="102"/>
      <c r="KL12" s="102"/>
      <c r="KM12" s="102">
        <v>3.0</v>
      </c>
      <c r="KN12" s="102">
        <v>3.0</v>
      </c>
      <c r="KO12" s="102">
        <v>3.0</v>
      </c>
      <c r="KP12" s="102"/>
      <c r="KQ12" s="102"/>
      <c r="KR12" s="102"/>
      <c r="KS12" s="102"/>
      <c r="KT12" s="102" t="s">
        <v>12</v>
      </c>
      <c r="KU12" s="102" t="s">
        <v>12</v>
      </c>
      <c r="KV12" s="102" t="s">
        <v>12</v>
      </c>
      <c r="KW12" s="102"/>
      <c r="KX12" s="102"/>
      <c r="KY12" s="102"/>
      <c r="KZ12" s="102"/>
      <c r="LA12" s="102">
        <v>2.0</v>
      </c>
      <c r="LB12" s="102">
        <v>2.0</v>
      </c>
      <c r="LC12" s="102">
        <v>2.0</v>
      </c>
      <c r="LD12" s="102"/>
      <c r="LE12" s="102"/>
      <c r="LF12" s="102"/>
      <c r="LG12" s="102"/>
      <c r="LH12" s="102" t="s">
        <v>12</v>
      </c>
      <c r="LI12" s="102" t="s">
        <v>12</v>
      </c>
      <c r="LJ12" s="102" t="s">
        <v>12</v>
      </c>
      <c r="LK12" s="104">
        <f>COUNTIF(KI12:LJ12,"D")/3</f>
        <v>2</v>
      </c>
      <c r="LL12" s="104">
        <f>COUNTIF(KI12:LJ12,"D")/3</f>
        <v>2</v>
      </c>
      <c r="LM12" s="102"/>
      <c r="LN12" s="102"/>
      <c r="LO12" s="113"/>
      <c r="LP12" s="106"/>
      <c r="LQ12" s="102">
        <v>1.0</v>
      </c>
      <c r="LR12" s="102">
        <v>1.0</v>
      </c>
      <c r="LS12" s="102">
        <v>1.0</v>
      </c>
      <c r="LT12" s="102"/>
      <c r="LU12" s="102"/>
      <c r="LV12" s="102"/>
      <c r="LW12" s="102"/>
      <c r="LX12" s="102" t="s">
        <v>12</v>
      </c>
      <c r="LY12" s="102" t="s">
        <v>12</v>
      </c>
      <c r="LZ12" s="102" t="s">
        <v>12</v>
      </c>
      <c r="MA12" s="102"/>
      <c r="MB12" s="102"/>
      <c r="MC12" s="102"/>
      <c r="MD12" s="102"/>
      <c r="ME12" s="102">
        <v>3.0</v>
      </c>
      <c r="MF12" s="102">
        <v>3.0</v>
      </c>
      <c r="MG12" s="102">
        <v>3.0</v>
      </c>
      <c r="MH12" s="102"/>
      <c r="MI12" s="102"/>
      <c r="MJ12" s="102"/>
      <c r="MK12" s="102"/>
      <c r="ML12" s="102" t="s">
        <v>12</v>
      </c>
      <c r="MM12" s="102" t="s">
        <v>12</v>
      </c>
      <c r="MN12" s="102" t="s">
        <v>12</v>
      </c>
      <c r="MO12" s="104">
        <f>COUNTIF(LM12:MN12,"D")/3</f>
        <v>2</v>
      </c>
      <c r="MP12" s="104">
        <f>COUNTIF(LM12:MN12,"D")/3</f>
        <v>2</v>
      </c>
      <c r="MQ12" s="102"/>
      <c r="MR12" s="102"/>
      <c r="MS12" s="102"/>
      <c r="MT12" s="102"/>
      <c r="MU12" s="102">
        <v>3.0</v>
      </c>
      <c r="MV12" s="113">
        <v>3.0</v>
      </c>
      <c r="MW12" s="105">
        <v>3.0</v>
      </c>
      <c r="MX12" s="102"/>
      <c r="MY12" s="102"/>
      <c r="MZ12" s="102"/>
      <c r="NA12" s="102"/>
      <c r="NB12" s="102" t="s">
        <v>12</v>
      </c>
      <c r="NC12" s="102" t="s">
        <v>12</v>
      </c>
      <c r="ND12" s="102" t="s">
        <v>12</v>
      </c>
      <c r="NE12" s="102"/>
      <c r="NF12" s="102"/>
      <c r="NG12" s="102"/>
      <c r="NH12" s="102"/>
      <c r="NI12" s="102" t="s">
        <v>12</v>
      </c>
      <c r="NJ12" s="102" t="s">
        <v>12</v>
      </c>
      <c r="NK12" s="102" t="s">
        <v>12</v>
      </c>
      <c r="NL12" s="102"/>
      <c r="NM12" s="102"/>
      <c r="NN12" s="102"/>
      <c r="NO12" s="102"/>
      <c r="NP12" s="102" t="s">
        <v>12</v>
      </c>
      <c r="NQ12" s="102" t="s">
        <v>12</v>
      </c>
      <c r="NR12" s="102" t="s">
        <v>12</v>
      </c>
      <c r="NS12" s="102"/>
      <c r="NT12" s="102"/>
      <c r="NU12" s="102"/>
      <c r="NV12" s="102"/>
      <c r="NW12" s="102"/>
      <c r="NX12" s="102"/>
      <c r="NY12" s="102"/>
      <c r="NZ12" s="104">
        <f>COUNTIF(MQ12:NY12,"D")/3</f>
        <v>3</v>
      </c>
      <c r="OA12" s="104">
        <f>COUNTIF(MQ12:NY12,"D")/3</f>
        <v>3</v>
      </c>
      <c r="OB12" s="113"/>
      <c r="OC12" s="106"/>
      <c r="OD12" s="104">
        <f t="shared" ref="OD12:OE12" si="4">SUM(AF12,BJ12,CU12,DY12,FC12,GN12,HR12,IV12,KG12,LK12,MO12,NZ12)</f>
        <v>29</v>
      </c>
      <c r="OE12" s="104">
        <f t="shared" si="4"/>
        <v>29</v>
      </c>
    </row>
    <row r="13" ht="26.25" customHeight="1">
      <c r="A13" s="73"/>
      <c r="B13" s="74"/>
      <c r="C13" s="114"/>
      <c r="D13" s="143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7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8"/>
      <c r="AG13" s="138"/>
      <c r="AH13" s="143"/>
      <c r="AI13" s="140"/>
      <c r="AJ13" s="141"/>
      <c r="AK13" s="142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7"/>
      <c r="AY13" s="136"/>
      <c r="AZ13" s="136"/>
      <c r="BA13" s="160"/>
      <c r="BB13" s="136"/>
      <c r="BC13" s="136"/>
      <c r="BD13" s="136"/>
      <c r="BE13" s="137"/>
      <c r="BF13" s="116"/>
      <c r="BG13" s="136"/>
      <c r="BH13" s="136"/>
      <c r="BI13" s="136"/>
      <c r="BJ13" s="138"/>
      <c r="BK13" s="138"/>
      <c r="BL13" s="136"/>
      <c r="BM13" s="136"/>
      <c r="BN13" s="116"/>
      <c r="BO13" s="116"/>
      <c r="BP13" s="143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7"/>
      <c r="CD13" s="136"/>
      <c r="CE13" s="136"/>
      <c r="CF13" s="136"/>
      <c r="CG13" s="116"/>
      <c r="CH13" s="136"/>
      <c r="CI13" s="136"/>
      <c r="CJ13" s="116"/>
      <c r="CK13" s="136"/>
      <c r="CL13" s="136"/>
      <c r="CM13" s="116"/>
      <c r="CN13" s="136"/>
      <c r="CO13" s="116"/>
      <c r="CP13" s="116"/>
      <c r="CQ13" s="136"/>
      <c r="CR13" s="136"/>
      <c r="CS13" s="140"/>
      <c r="CT13" s="141"/>
      <c r="CU13" s="138"/>
      <c r="CV13" s="138"/>
      <c r="CW13" s="143"/>
      <c r="CX13" s="136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7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6"/>
      <c r="DW13" s="136"/>
      <c r="DX13" s="116"/>
      <c r="DY13" s="138"/>
      <c r="DZ13" s="138"/>
      <c r="EA13" s="136"/>
      <c r="EB13" s="141"/>
      <c r="EC13" s="115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50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38"/>
      <c r="FD13" s="138"/>
      <c r="FE13" s="116"/>
      <c r="FF13" s="116"/>
      <c r="FG13" s="116"/>
      <c r="FH13" s="120"/>
      <c r="FI13" s="118"/>
      <c r="FJ13" s="143"/>
      <c r="FK13" s="136"/>
      <c r="FL13" s="136"/>
      <c r="FM13" s="136"/>
      <c r="FN13" s="136"/>
      <c r="FO13" s="136"/>
      <c r="FP13" s="136"/>
      <c r="FQ13" s="136"/>
      <c r="FR13" s="136"/>
      <c r="FS13" s="136"/>
      <c r="FT13" s="136"/>
      <c r="FU13" s="136"/>
      <c r="FV13" s="136"/>
      <c r="FW13" s="137"/>
      <c r="FX13" s="136"/>
      <c r="FY13" s="136">
        <v>1.0</v>
      </c>
      <c r="FZ13" s="136"/>
      <c r="GA13" s="136"/>
      <c r="GB13" s="136"/>
      <c r="GC13" s="136"/>
      <c r="GD13" s="136"/>
      <c r="GE13" s="136"/>
      <c r="GF13" s="136"/>
      <c r="GG13" s="136"/>
      <c r="GH13" s="136"/>
      <c r="GI13" s="136"/>
      <c r="GJ13" s="116"/>
      <c r="GK13" s="136"/>
      <c r="GL13" s="136"/>
      <c r="GM13" s="140"/>
      <c r="GN13" s="138"/>
      <c r="GO13" s="138"/>
      <c r="GP13" s="143"/>
      <c r="GQ13" s="136"/>
      <c r="GR13" s="136"/>
      <c r="GS13" s="136"/>
      <c r="GT13" s="136"/>
      <c r="GU13" s="136"/>
      <c r="GV13" s="136"/>
      <c r="GW13" s="136"/>
      <c r="GX13" s="136"/>
      <c r="GY13" s="136"/>
      <c r="GZ13" s="136"/>
      <c r="HA13" s="136"/>
      <c r="HB13" s="136"/>
      <c r="HC13" s="137"/>
      <c r="HD13" s="136"/>
      <c r="HE13" s="136"/>
      <c r="HF13" s="136"/>
      <c r="HG13" s="136"/>
      <c r="HH13" s="136"/>
      <c r="HI13" s="136"/>
      <c r="HJ13" s="136"/>
      <c r="HK13" s="136"/>
      <c r="HL13" s="136"/>
      <c r="HM13" s="136"/>
      <c r="HN13" s="136"/>
      <c r="HO13" s="136"/>
      <c r="HP13" s="136"/>
      <c r="HQ13" s="136"/>
      <c r="HR13" s="138"/>
      <c r="HS13" s="138"/>
      <c r="HT13" s="136"/>
      <c r="HU13" s="140"/>
      <c r="HV13" s="141"/>
      <c r="HW13" s="143"/>
      <c r="HX13" s="136"/>
      <c r="HY13" s="136"/>
      <c r="HZ13" s="136"/>
      <c r="IA13" s="136"/>
      <c r="IB13" s="136"/>
      <c r="IC13" s="136"/>
      <c r="ID13" s="136"/>
      <c r="IE13" s="136"/>
      <c r="IF13" s="136"/>
      <c r="IG13" s="136"/>
      <c r="IH13" s="136"/>
      <c r="II13" s="136"/>
      <c r="IJ13" s="137"/>
      <c r="IK13" s="136"/>
      <c r="IL13" s="136"/>
      <c r="IM13" s="136"/>
      <c r="IN13" s="136"/>
      <c r="IO13" s="136"/>
      <c r="IP13" s="136"/>
      <c r="IQ13" s="136"/>
      <c r="IR13" s="136"/>
      <c r="IS13" s="136"/>
      <c r="IT13" s="136"/>
      <c r="IU13" s="136"/>
      <c r="IV13" s="138"/>
      <c r="IW13" s="138"/>
      <c r="IX13" s="136"/>
      <c r="IY13" s="136"/>
      <c r="IZ13" s="136"/>
      <c r="JA13" s="136"/>
      <c r="JB13" s="140"/>
      <c r="JC13" s="141"/>
      <c r="JD13" s="143"/>
      <c r="JE13" s="136"/>
      <c r="JF13" s="136"/>
      <c r="JG13" s="136"/>
      <c r="JH13" s="136"/>
      <c r="JI13" s="136"/>
      <c r="JJ13" s="136"/>
      <c r="JK13" s="136"/>
      <c r="JL13" s="136"/>
      <c r="JM13" s="136"/>
      <c r="JN13" s="136"/>
      <c r="JO13" s="136"/>
      <c r="JP13" s="136"/>
      <c r="JQ13" s="137"/>
      <c r="JR13" s="136"/>
      <c r="JS13" s="136"/>
      <c r="JT13" s="136"/>
      <c r="JU13" s="136"/>
      <c r="JV13" s="136"/>
      <c r="JW13" s="136"/>
      <c r="JX13" s="136"/>
      <c r="JY13" s="136"/>
      <c r="JZ13" s="136"/>
      <c r="KA13" s="136"/>
      <c r="KB13" s="136"/>
      <c r="KC13" s="136"/>
      <c r="KD13" s="136"/>
      <c r="KE13" s="136"/>
      <c r="KF13" s="136"/>
      <c r="KG13" s="138"/>
      <c r="KH13" s="138"/>
      <c r="KI13" s="140"/>
      <c r="KJ13" s="143"/>
      <c r="KK13" s="136"/>
      <c r="KL13" s="136"/>
      <c r="KM13" s="136"/>
      <c r="KN13" s="136"/>
      <c r="KO13" s="136"/>
      <c r="KP13" s="136"/>
      <c r="KQ13" s="136"/>
      <c r="KR13" s="136"/>
      <c r="KS13" s="136"/>
      <c r="KT13" s="136"/>
      <c r="KU13" s="136"/>
      <c r="KV13" s="136"/>
      <c r="KW13" s="137"/>
      <c r="KX13" s="136"/>
      <c r="KY13" s="136"/>
      <c r="KZ13" s="136"/>
      <c r="LA13" s="136"/>
      <c r="LB13" s="136"/>
      <c r="LC13" s="136"/>
      <c r="LD13" s="136"/>
      <c r="LE13" s="136"/>
      <c r="LF13" s="136"/>
      <c r="LG13" s="136"/>
      <c r="LH13" s="136"/>
      <c r="LI13" s="136"/>
      <c r="LJ13" s="136"/>
      <c r="LK13" s="138"/>
      <c r="LL13" s="138"/>
      <c r="LM13" s="136"/>
      <c r="LN13" s="136"/>
      <c r="LO13" s="140"/>
      <c r="LP13" s="141"/>
      <c r="LQ13" s="136"/>
      <c r="LR13" s="136"/>
      <c r="LS13" s="136"/>
      <c r="LT13" s="136"/>
      <c r="LU13" s="136"/>
      <c r="LV13" s="136"/>
      <c r="LW13" s="136"/>
      <c r="LX13" s="136"/>
      <c r="LY13" s="136"/>
      <c r="LZ13" s="136"/>
      <c r="MA13" s="136"/>
      <c r="MB13" s="136"/>
      <c r="MC13" s="136"/>
      <c r="MD13" s="137"/>
      <c r="ME13" s="136"/>
      <c r="MF13" s="136"/>
      <c r="MG13" s="136"/>
      <c r="MH13" s="136"/>
      <c r="MI13" s="136"/>
      <c r="MJ13" s="136"/>
      <c r="MK13" s="136"/>
      <c r="ML13" s="136"/>
      <c r="MM13" s="136"/>
      <c r="MN13" s="136"/>
      <c r="MO13" s="138"/>
      <c r="MP13" s="138"/>
      <c r="MQ13" s="136"/>
      <c r="MR13" s="136"/>
      <c r="MS13" s="136"/>
      <c r="MT13" s="136"/>
      <c r="MU13" s="136"/>
      <c r="MV13" s="140"/>
      <c r="MW13" s="143"/>
      <c r="MX13" s="136"/>
      <c r="MY13" s="136"/>
      <c r="MZ13" s="136"/>
      <c r="NA13" s="136"/>
      <c r="NB13" s="136"/>
      <c r="NC13" s="136"/>
      <c r="ND13" s="136"/>
      <c r="NE13" s="136"/>
      <c r="NF13" s="136"/>
      <c r="NG13" s="136"/>
      <c r="NH13" s="136"/>
      <c r="NI13" s="136"/>
      <c r="NJ13" s="137"/>
      <c r="NK13" s="136"/>
      <c r="NL13" s="136"/>
      <c r="NM13" s="136"/>
      <c r="NN13" s="136"/>
      <c r="NO13" s="136"/>
      <c r="NP13" s="136"/>
      <c r="NQ13" s="136"/>
      <c r="NR13" s="136"/>
      <c r="NS13" s="136"/>
      <c r="NT13" s="136"/>
      <c r="NU13" s="136"/>
      <c r="NV13" s="136"/>
      <c r="NW13" s="136"/>
      <c r="NX13" s="136"/>
      <c r="NY13" s="136"/>
      <c r="NZ13" s="138"/>
      <c r="OA13" s="138"/>
      <c r="OB13" s="140"/>
      <c r="OC13" s="141"/>
      <c r="OD13" s="138"/>
      <c r="OE13" s="138"/>
    </row>
    <row r="14" ht="26.25" customHeight="1">
      <c r="A14" s="121" t="s">
        <v>73</v>
      </c>
      <c r="B14" s="122" t="s">
        <v>72</v>
      </c>
      <c r="C14" s="123" t="s">
        <v>23</v>
      </c>
      <c r="D14" s="102"/>
      <c r="E14" s="102"/>
      <c r="F14" s="102"/>
      <c r="G14" s="102"/>
      <c r="H14" s="102">
        <v>3.0</v>
      </c>
      <c r="I14" s="102"/>
      <c r="J14" s="102"/>
      <c r="K14" s="102"/>
      <c r="L14" s="102"/>
      <c r="M14" s="102"/>
      <c r="N14" s="102"/>
      <c r="O14" s="102">
        <v>2.0</v>
      </c>
      <c r="P14" s="102">
        <v>2.0</v>
      </c>
      <c r="Q14" s="102">
        <v>2.0</v>
      </c>
      <c r="R14" s="102"/>
      <c r="S14" s="102"/>
      <c r="T14" s="102"/>
      <c r="U14" s="102"/>
      <c r="V14" s="102" t="s">
        <v>12</v>
      </c>
      <c r="W14" s="102" t="s">
        <v>12</v>
      </c>
      <c r="X14" s="102" t="s">
        <v>12</v>
      </c>
      <c r="Y14" s="111"/>
      <c r="Z14" s="111"/>
      <c r="AA14" s="111"/>
      <c r="AB14" s="102"/>
      <c r="AC14" s="102" t="s">
        <v>12</v>
      </c>
      <c r="AD14" s="102" t="s">
        <v>12</v>
      </c>
      <c r="AE14" s="102" t="s">
        <v>12</v>
      </c>
      <c r="AF14" s="104">
        <f>COUNTIF(D14:AE14,"D")/3</f>
        <v>2</v>
      </c>
      <c r="AG14" s="104">
        <f>COUNTIF(D14:AE14,"D")/3</f>
        <v>2</v>
      </c>
      <c r="AH14" s="105"/>
      <c r="AI14" s="113"/>
      <c r="AJ14" s="106"/>
      <c r="AK14" s="107"/>
      <c r="AL14" s="102" t="s">
        <v>12</v>
      </c>
      <c r="AM14" s="102" t="s">
        <v>12</v>
      </c>
      <c r="AN14" s="102" t="s">
        <v>12</v>
      </c>
      <c r="AO14" s="102"/>
      <c r="AP14" s="102"/>
      <c r="AQ14" s="102"/>
      <c r="AR14" s="102"/>
      <c r="AS14" s="102" t="s">
        <v>12</v>
      </c>
      <c r="AT14" s="102" t="s">
        <v>12</v>
      </c>
      <c r="AU14" s="102" t="s">
        <v>12</v>
      </c>
      <c r="AV14" s="102"/>
      <c r="AW14" s="102"/>
      <c r="AX14" s="102"/>
      <c r="AY14" s="102"/>
      <c r="AZ14" s="102">
        <v>3.0</v>
      </c>
      <c r="BA14" s="102">
        <v>3.0</v>
      </c>
      <c r="BB14" s="102"/>
      <c r="BC14" s="102"/>
      <c r="BD14" s="102"/>
      <c r="BE14" s="102"/>
      <c r="BF14" s="102"/>
      <c r="BG14" s="102">
        <v>2.0</v>
      </c>
      <c r="BH14" s="102">
        <v>2.0</v>
      </c>
      <c r="BI14" s="102">
        <v>2.0</v>
      </c>
      <c r="BJ14" s="104">
        <f>COUNTIF(AH14:BI14,"D")/3</f>
        <v>2</v>
      </c>
      <c r="BK14" s="104">
        <f>COUNTIF(AH14:BI14,"D")/3</f>
        <v>2</v>
      </c>
      <c r="BL14" s="102"/>
      <c r="BM14" s="102"/>
      <c r="BN14" s="111"/>
      <c r="BO14" s="111"/>
      <c r="BP14" s="105" t="s">
        <v>12</v>
      </c>
      <c r="BQ14" s="102" t="s">
        <v>12</v>
      </c>
      <c r="BR14" s="102" t="s">
        <v>12</v>
      </c>
      <c r="BS14" s="102"/>
      <c r="BT14" s="102"/>
      <c r="BU14" s="102"/>
      <c r="BV14" s="102"/>
      <c r="BW14" s="102" t="s">
        <v>12</v>
      </c>
      <c r="BX14" s="102" t="s">
        <v>12</v>
      </c>
      <c r="BY14" s="102" t="s">
        <v>12</v>
      </c>
      <c r="BZ14" s="102"/>
      <c r="CA14" s="102"/>
      <c r="CB14" s="111"/>
      <c r="CC14" s="102"/>
      <c r="CD14" s="102">
        <v>3.0</v>
      </c>
      <c r="CE14" s="102">
        <v>3.0</v>
      </c>
      <c r="CF14" s="102">
        <v>3.0</v>
      </c>
      <c r="CG14" s="102"/>
      <c r="CH14" s="102"/>
      <c r="CI14" s="102"/>
      <c r="CJ14" s="102"/>
      <c r="CK14" s="102" t="s">
        <v>12</v>
      </c>
      <c r="CL14" s="102" t="s">
        <v>12</v>
      </c>
      <c r="CM14" s="111" t="s">
        <v>12</v>
      </c>
      <c r="CN14" s="102"/>
      <c r="CO14" s="102"/>
      <c r="CP14" s="111"/>
      <c r="CQ14" s="111"/>
      <c r="CR14" s="102" t="s">
        <v>12</v>
      </c>
      <c r="CS14" s="113">
        <v>2.0</v>
      </c>
      <c r="CT14" s="106">
        <v>2.0</v>
      </c>
      <c r="CU14" s="104">
        <f>COUNTIF(BL14:CT14,"D")/3</f>
        <v>3.333333333</v>
      </c>
      <c r="CV14" s="104">
        <f>COUNTIF(BL14:CT14,"D")/3</f>
        <v>3.333333333</v>
      </c>
      <c r="CW14" s="105"/>
      <c r="CX14" s="102"/>
      <c r="CY14" s="102"/>
      <c r="CZ14" s="102"/>
      <c r="DA14" s="102">
        <v>1.0</v>
      </c>
      <c r="DB14" s="102">
        <v>1.0</v>
      </c>
      <c r="DC14" s="102">
        <v>1.0</v>
      </c>
      <c r="DD14" s="111"/>
      <c r="DE14" s="111"/>
      <c r="DF14" s="102"/>
      <c r="DG14" s="110"/>
      <c r="DH14" s="102" t="s">
        <v>12</v>
      </c>
      <c r="DI14" s="102" t="s">
        <v>12</v>
      </c>
      <c r="DJ14" s="102" t="s">
        <v>12</v>
      </c>
      <c r="DK14" s="102"/>
      <c r="DL14" s="102"/>
      <c r="DM14" s="111"/>
      <c r="DN14" s="102"/>
      <c r="DO14" s="102">
        <v>3.0</v>
      </c>
      <c r="DP14" s="102">
        <v>3.0</v>
      </c>
      <c r="DQ14" s="102">
        <v>3.0</v>
      </c>
      <c r="DR14" s="102"/>
      <c r="DS14" s="102"/>
      <c r="DT14" s="111"/>
      <c r="DU14" s="111"/>
      <c r="DV14" s="102" t="s">
        <v>12</v>
      </c>
      <c r="DW14" s="102" t="s">
        <v>12</v>
      </c>
      <c r="DX14" s="102" t="s">
        <v>12</v>
      </c>
      <c r="DY14" s="104">
        <f>COUNTIF(CW14:DX14,"D")/3</f>
        <v>2</v>
      </c>
      <c r="DZ14" s="104">
        <f>COUNTIF(CW14:DX14,"D")/3</f>
        <v>2</v>
      </c>
      <c r="EA14" s="102"/>
      <c r="EB14" s="106"/>
      <c r="EC14" s="105"/>
      <c r="ED14" s="102"/>
      <c r="EE14" s="102" t="s">
        <v>12</v>
      </c>
      <c r="EF14" s="102" t="s">
        <v>12</v>
      </c>
      <c r="EG14" s="102" t="s">
        <v>12</v>
      </c>
      <c r="EH14" s="102"/>
      <c r="EI14" s="102"/>
      <c r="EJ14" s="102"/>
      <c r="EK14" s="102"/>
      <c r="EL14" s="102">
        <v>1.0</v>
      </c>
      <c r="EM14" s="102">
        <v>1.0</v>
      </c>
      <c r="EN14" s="102">
        <v>1.0</v>
      </c>
      <c r="EO14" s="102"/>
      <c r="EP14" s="102"/>
      <c r="EQ14" s="102"/>
      <c r="ER14" s="102"/>
      <c r="ES14" s="102" t="s">
        <v>12</v>
      </c>
      <c r="ET14" s="102" t="s">
        <v>12</v>
      </c>
      <c r="EU14" s="102" t="s">
        <v>12</v>
      </c>
      <c r="EV14" s="102"/>
      <c r="EW14" s="102"/>
      <c r="EX14" s="102"/>
      <c r="EY14" s="102"/>
      <c r="EZ14" s="102">
        <v>3.0</v>
      </c>
      <c r="FA14" s="102">
        <v>3.0</v>
      </c>
      <c r="FB14" s="102"/>
      <c r="FC14" s="104">
        <f>COUNTIF(EA14:FB14,"D")/3</f>
        <v>2</v>
      </c>
      <c r="FD14" s="104">
        <f>COUNTIF(EA14:FB14,"D")/3</f>
        <v>2</v>
      </c>
      <c r="FE14" s="102"/>
      <c r="FF14" s="102"/>
      <c r="FG14" s="102"/>
      <c r="FH14" s="113"/>
      <c r="FI14" s="106">
        <v>1.0</v>
      </c>
      <c r="FJ14" s="105">
        <v>1.0</v>
      </c>
      <c r="FK14" s="102"/>
      <c r="FL14" s="102"/>
      <c r="FM14" s="102"/>
      <c r="FN14" s="102"/>
      <c r="FO14" s="102"/>
      <c r="FP14" s="102" t="s">
        <v>12</v>
      </c>
      <c r="FQ14" s="102">
        <v>2.0</v>
      </c>
      <c r="FR14" s="102">
        <v>2.0</v>
      </c>
      <c r="FS14" s="102"/>
      <c r="FT14" s="102"/>
      <c r="FU14" s="102"/>
      <c r="FV14" s="102"/>
      <c r="FW14" s="102">
        <v>3.0</v>
      </c>
      <c r="FX14" s="102">
        <v>3.0</v>
      </c>
      <c r="FY14" s="102">
        <v>3.0</v>
      </c>
      <c r="FZ14" s="102"/>
      <c r="GA14" s="102"/>
      <c r="GB14" s="102"/>
      <c r="GC14" s="102"/>
      <c r="GD14" s="102" t="s">
        <v>12</v>
      </c>
      <c r="GE14" s="102" t="s">
        <v>12</v>
      </c>
      <c r="GF14" s="102" t="s">
        <v>12</v>
      </c>
      <c r="GG14" s="102"/>
      <c r="GH14" s="102"/>
      <c r="GI14" s="102"/>
      <c r="GJ14" s="111"/>
      <c r="GK14" s="102" t="s">
        <v>12</v>
      </c>
      <c r="GL14" s="102" t="s">
        <v>12</v>
      </c>
      <c r="GM14" s="113" t="s">
        <v>12</v>
      </c>
      <c r="GN14" s="104">
        <f>COUNTIF(FE14:GM14,"D")/3</f>
        <v>2.333333333</v>
      </c>
      <c r="GO14" s="104">
        <f>COUNTIF(FE14:GM14,"D")/3</f>
        <v>2.333333333</v>
      </c>
      <c r="GP14" s="105"/>
      <c r="GQ14" s="102"/>
      <c r="GR14" s="102"/>
      <c r="GS14" s="102"/>
      <c r="GT14" s="102" t="s">
        <v>12</v>
      </c>
      <c r="GU14" s="102" t="s">
        <v>12</v>
      </c>
      <c r="GV14" s="102" t="s">
        <v>12</v>
      </c>
      <c r="GW14" s="102"/>
      <c r="GX14" s="102"/>
      <c r="GY14" s="102"/>
      <c r="GZ14" s="102"/>
      <c r="HA14" s="102" t="s">
        <v>12</v>
      </c>
      <c r="HB14" s="102" t="s">
        <v>12</v>
      </c>
      <c r="HC14" s="102" t="s">
        <v>12</v>
      </c>
      <c r="HD14" s="102"/>
      <c r="HE14" s="102"/>
      <c r="HF14" s="102"/>
      <c r="HG14" s="102"/>
      <c r="HH14" s="102" t="s">
        <v>12</v>
      </c>
      <c r="HI14" s="102" t="s">
        <v>12</v>
      </c>
      <c r="HJ14" s="102" t="s">
        <v>12</v>
      </c>
      <c r="HK14" s="102"/>
      <c r="HL14" s="102"/>
      <c r="HM14" s="102"/>
      <c r="HN14" s="102"/>
      <c r="HO14" s="102" t="s">
        <v>12</v>
      </c>
      <c r="HP14" s="102" t="s">
        <v>12</v>
      </c>
      <c r="HQ14" s="102" t="s">
        <v>12</v>
      </c>
      <c r="HR14" s="104">
        <f>COUNTIF(GP14:HQ14,"D")/3</f>
        <v>4</v>
      </c>
      <c r="HS14" s="104">
        <f>COUNTIF(GP14:HQ14,"D")/3</f>
        <v>4</v>
      </c>
      <c r="HT14" s="102"/>
      <c r="HU14" s="113"/>
      <c r="HV14" s="106"/>
      <c r="HW14" s="105"/>
      <c r="HX14" s="102" t="s">
        <v>12</v>
      </c>
      <c r="HY14" s="102" t="s">
        <v>12</v>
      </c>
      <c r="HZ14" s="102" t="s">
        <v>12</v>
      </c>
      <c r="IA14" s="102"/>
      <c r="IB14" s="102"/>
      <c r="IC14" s="102"/>
      <c r="ID14" s="102"/>
      <c r="IE14" s="102">
        <v>1.0</v>
      </c>
      <c r="IF14" s="102">
        <v>1.0</v>
      </c>
      <c r="IG14" s="102">
        <v>1.0</v>
      </c>
      <c r="IH14" s="102"/>
      <c r="II14" s="102"/>
      <c r="IJ14" s="102"/>
      <c r="IK14" s="102"/>
      <c r="IL14" s="102">
        <v>3.0</v>
      </c>
      <c r="IM14" s="102">
        <v>3.0</v>
      </c>
      <c r="IN14" s="102"/>
      <c r="IO14" s="102"/>
      <c r="IP14" s="102"/>
      <c r="IQ14" s="102"/>
      <c r="IR14" s="102"/>
      <c r="IS14" s="102" t="s">
        <v>12</v>
      </c>
      <c r="IT14" s="102" t="s">
        <v>12</v>
      </c>
      <c r="IU14" s="102" t="s">
        <v>12</v>
      </c>
      <c r="IV14" s="104">
        <f>COUNTIF(HT14:IU14,"D")/3</f>
        <v>2</v>
      </c>
      <c r="IW14" s="104">
        <f>COUNTIF(HT14:IU14,"D")/3</f>
        <v>2</v>
      </c>
      <c r="IX14" s="102"/>
      <c r="IY14" s="102"/>
      <c r="IZ14" s="102"/>
      <c r="JA14" s="102"/>
      <c r="JB14" s="113">
        <v>1.0</v>
      </c>
      <c r="JC14" s="106">
        <v>1.0</v>
      </c>
      <c r="JD14" s="105"/>
      <c r="JE14" s="102"/>
      <c r="JF14" s="102"/>
      <c r="JG14" s="102"/>
      <c r="JH14" s="102"/>
      <c r="JI14" s="102">
        <v>3.0</v>
      </c>
      <c r="JJ14" s="102">
        <v>3.0</v>
      </c>
      <c r="JK14" s="102"/>
      <c r="JL14" s="102"/>
      <c r="JM14" s="102"/>
      <c r="JN14" s="102"/>
      <c r="JO14" s="102"/>
      <c r="JP14" s="102" t="s">
        <v>12</v>
      </c>
      <c r="JQ14" s="102" t="s">
        <v>12</v>
      </c>
      <c r="JR14" s="102" t="s">
        <v>12</v>
      </c>
      <c r="JS14" s="102"/>
      <c r="JT14" s="102"/>
      <c r="JU14" s="102"/>
      <c r="JV14" s="102"/>
      <c r="JW14" s="102" t="s">
        <v>12</v>
      </c>
      <c r="JX14" s="102" t="s">
        <v>12</v>
      </c>
      <c r="JY14" s="102" t="s">
        <v>12</v>
      </c>
      <c r="JZ14" s="102"/>
      <c r="KA14" s="102"/>
      <c r="KB14" s="102"/>
      <c r="KC14" s="102"/>
      <c r="KD14" s="102" t="s">
        <v>12</v>
      </c>
      <c r="KE14" s="102" t="s">
        <v>12</v>
      </c>
      <c r="KF14" s="102" t="s">
        <v>12</v>
      </c>
      <c r="KG14" s="104">
        <f>COUNTIF(IX14:KF14,"D")/3</f>
        <v>3</v>
      </c>
      <c r="KH14" s="104">
        <f>COUNTIF(IX14:KF14,"D")/3</f>
        <v>3</v>
      </c>
      <c r="KI14" s="113"/>
      <c r="KJ14" s="105"/>
      <c r="KK14" s="102"/>
      <c r="KL14" s="102"/>
      <c r="KM14" s="102" t="s">
        <v>12</v>
      </c>
      <c r="KN14" s="102" t="s">
        <v>12</v>
      </c>
      <c r="KO14" s="102" t="s">
        <v>12</v>
      </c>
      <c r="KP14" s="102"/>
      <c r="KQ14" s="102"/>
      <c r="KR14" s="102"/>
      <c r="KS14" s="102"/>
      <c r="KT14" s="102">
        <v>3.0</v>
      </c>
      <c r="KU14" s="102">
        <v>3.0</v>
      </c>
      <c r="KV14" s="102">
        <v>3.0</v>
      </c>
      <c r="KW14" s="102"/>
      <c r="KX14" s="102"/>
      <c r="KY14" s="102"/>
      <c r="KZ14" s="102"/>
      <c r="LA14" s="102">
        <v>1.0</v>
      </c>
      <c r="LB14" s="102" t="s">
        <v>12</v>
      </c>
      <c r="LC14" s="102" t="s">
        <v>12</v>
      </c>
      <c r="LD14" s="102"/>
      <c r="LE14" s="102"/>
      <c r="LF14" s="102"/>
      <c r="LG14" s="102"/>
      <c r="LH14" s="102">
        <v>2.0</v>
      </c>
      <c r="LI14" s="102">
        <v>2.0</v>
      </c>
      <c r="LJ14" s="102">
        <v>2.0</v>
      </c>
      <c r="LK14" s="104">
        <f>COUNTIF(KI14:LJ14,"D")/3</f>
        <v>1.666666667</v>
      </c>
      <c r="LL14" s="104">
        <f>COUNTIF(KI14:LJ14,"D")/3</f>
        <v>1.666666667</v>
      </c>
      <c r="LM14" s="102"/>
      <c r="LN14" s="102"/>
      <c r="LO14" s="113"/>
      <c r="LP14" s="106"/>
      <c r="LQ14" s="102">
        <v>3.0</v>
      </c>
      <c r="LR14" s="102">
        <v>3.0</v>
      </c>
      <c r="LS14" s="102">
        <v>3.0</v>
      </c>
      <c r="LT14" s="102"/>
      <c r="LU14" s="102"/>
      <c r="LV14" s="102"/>
      <c r="LW14" s="102"/>
      <c r="LX14" s="102">
        <v>1.0</v>
      </c>
      <c r="LY14" s="102">
        <v>1.0</v>
      </c>
      <c r="LZ14" s="102">
        <v>1.0</v>
      </c>
      <c r="MA14" s="102"/>
      <c r="MB14" s="102"/>
      <c r="MC14" s="102"/>
      <c r="MD14" s="102"/>
      <c r="ME14" s="102" t="s">
        <v>12</v>
      </c>
      <c r="MF14" s="102" t="s">
        <v>12</v>
      </c>
      <c r="MG14" s="102" t="s">
        <v>12</v>
      </c>
      <c r="MH14" s="102"/>
      <c r="MI14" s="102"/>
      <c r="MJ14" s="102"/>
      <c r="MK14" s="102"/>
      <c r="ML14" s="102" t="s">
        <v>12</v>
      </c>
      <c r="MM14" s="102" t="s">
        <v>12</v>
      </c>
      <c r="MN14" s="102" t="s">
        <v>12</v>
      </c>
      <c r="MO14" s="104">
        <f>COUNTIF(LM14:MN14,"D")/3</f>
        <v>2</v>
      </c>
      <c r="MP14" s="104">
        <f>COUNTIF(LM14:MN14,"D")/3</f>
        <v>2</v>
      </c>
      <c r="MQ14" s="102"/>
      <c r="MR14" s="102"/>
      <c r="MS14" s="102"/>
      <c r="MT14" s="102"/>
      <c r="MU14" s="102" t="s">
        <v>12</v>
      </c>
      <c r="MV14" s="113" t="s">
        <v>12</v>
      </c>
      <c r="MW14" s="105" t="s">
        <v>12</v>
      </c>
      <c r="MX14" s="102"/>
      <c r="MY14" s="102"/>
      <c r="MZ14" s="102"/>
      <c r="NA14" s="102"/>
      <c r="NB14" s="102" t="s">
        <v>12</v>
      </c>
      <c r="NC14" s="102" t="s">
        <v>12</v>
      </c>
      <c r="ND14" s="102" t="s">
        <v>12</v>
      </c>
      <c r="NE14" s="102"/>
      <c r="NF14" s="102"/>
      <c r="NG14" s="102"/>
      <c r="NH14" s="102"/>
      <c r="NI14" s="102" t="s">
        <v>12</v>
      </c>
      <c r="NJ14" s="102" t="s">
        <v>12</v>
      </c>
      <c r="NK14" s="102" t="s">
        <v>12</v>
      </c>
      <c r="NL14" s="102"/>
      <c r="NM14" s="102"/>
      <c r="NN14" s="102"/>
      <c r="NO14" s="102"/>
      <c r="NP14" s="102"/>
      <c r="NQ14" s="102"/>
      <c r="NR14" s="102"/>
      <c r="NS14" s="102"/>
      <c r="NT14" s="102"/>
      <c r="NU14" s="102"/>
      <c r="NV14" s="102"/>
      <c r="NW14" s="102"/>
      <c r="NX14" s="102"/>
      <c r="NY14" s="102"/>
      <c r="NZ14" s="104">
        <f>COUNTIF(MQ14:NY14,"D")/3</f>
        <v>3</v>
      </c>
      <c r="OA14" s="104">
        <f>COUNTIF(MQ14:NY14,"D")/3</f>
        <v>3</v>
      </c>
      <c r="OB14" s="113"/>
      <c r="OC14" s="106"/>
      <c r="OD14" s="104">
        <f t="shared" ref="OD14:OE14" si="5">SUM(AF14,BJ14,CU14,DY14,FC14,GN14,HR14,IV14,KG14,LK14,MO14,NZ14)</f>
        <v>29.33333333</v>
      </c>
      <c r="OE14" s="104">
        <f t="shared" si="5"/>
        <v>29.33333333</v>
      </c>
    </row>
    <row r="15" ht="26.25" customHeight="1">
      <c r="A15" s="73"/>
      <c r="B15" s="74"/>
      <c r="C15" s="114"/>
      <c r="D15" s="143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36"/>
      <c r="S15" s="136"/>
      <c r="T15" s="136"/>
      <c r="U15" s="136"/>
      <c r="V15" s="136"/>
      <c r="W15" s="136"/>
      <c r="X15" s="136"/>
      <c r="Y15" s="136"/>
      <c r="Z15" s="136"/>
      <c r="AA15" s="116"/>
      <c r="AB15" s="136"/>
      <c r="AC15" s="136"/>
      <c r="AD15" s="136"/>
      <c r="AE15" s="136"/>
      <c r="AF15" s="138"/>
      <c r="AG15" s="138"/>
      <c r="AH15" s="143"/>
      <c r="AI15" s="140"/>
      <c r="AJ15" s="141"/>
      <c r="AK15" s="142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7"/>
      <c r="AY15" s="136"/>
      <c r="AZ15" s="136"/>
      <c r="BA15" s="136"/>
      <c r="BB15" s="136"/>
      <c r="BC15" s="136"/>
      <c r="BD15" s="136"/>
      <c r="BE15" s="136"/>
      <c r="BF15" s="136"/>
      <c r="BG15" s="136"/>
      <c r="BH15" s="116"/>
      <c r="BI15" s="136"/>
      <c r="BJ15" s="138"/>
      <c r="BK15" s="138"/>
      <c r="BL15" s="136"/>
      <c r="BM15" s="136"/>
      <c r="BN15" s="136"/>
      <c r="BO15" s="136"/>
      <c r="BP15" s="143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7"/>
      <c r="CD15" s="136"/>
      <c r="CE15" s="136"/>
      <c r="CF15" s="136"/>
      <c r="CG15" s="136"/>
      <c r="CH15" s="136"/>
      <c r="CI15" s="136"/>
      <c r="CJ15" s="136"/>
      <c r="CK15" s="136"/>
      <c r="CL15" s="136"/>
      <c r="CM15" s="116">
        <v>3.0</v>
      </c>
      <c r="CN15" s="136"/>
      <c r="CO15" s="136"/>
      <c r="CP15" s="116"/>
      <c r="CQ15" s="116"/>
      <c r="CR15" s="116"/>
      <c r="CS15" s="120"/>
      <c r="CT15" s="118"/>
      <c r="CU15" s="138"/>
      <c r="CV15" s="138"/>
      <c r="CW15" s="143"/>
      <c r="CX15" s="136"/>
      <c r="CY15" s="136"/>
      <c r="CZ15" s="136"/>
      <c r="DA15" s="136"/>
      <c r="DB15" s="136"/>
      <c r="DC15" s="136"/>
      <c r="DD15" s="136"/>
      <c r="DE15" s="136"/>
      <c r="DF15" s="136"/>
      <c r="DG15" s="136"/>
      <c r="DH15" s="136"/>
      <c r="DI15" s="136"/>
      <c r="DJ15" s="137"/>
      <c r="DK15" s="136"/>
      <c r="DL15" s="136"/>
      <c r="DM15" s="136"/>
      <c r="DN15" s="136"/>
      <c r="DO15" s="136"/>
      <c r="DP15" s="136"/>
      <c r="DQ15" s="136"/>
      <c r="DR15" s="136"/>
      <c r="DS15" s="136"/>
      <c r="DT15" s="161"/>
      <c r="DU15" s="161"/>
      <c r="DV15" s="136"/>
      <c r="DW15" s="136"/>
      <c r="DX15" s="136"/>
      <c r="DY15" s="138"/>
      <c r="DZ15" s="138"/>
      <c r="EA15" s="136"/>
      <c r="EB15" s="141"/>
      <c r="EC15" s="115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50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38"/>
      <c r="FD15" s="138"/>
      <c r="FE15" s="116"/>
      <c r="FF15" s="116"/>
      <c r="FG15" s="116"/>
      <c r="FH15" s="120"/>
      <c r="FI15" s="118"/>
      <c r="FJ15" s="143"/>
      <c r="FK15" s="136"/>
      <c r="FL15" s="136"/>
      <c r="FM15" s="136"/>
      <c r="FN15" s="136"/>
      <c r="FO15" s="136"/>
      <c r="FP15" s="136"/>
      <c r="FQ15" s="136"/>
      <c r="FR15" s="136"/>
      <c r="FS15" s="136"/>
      <c r="FT15" s="136"/>
      <c r="FU15" s="136"/>
      <c r="FV15" s="136"/>
      <c r="FW15" s="137"/>
      <c r="FX15" s="136"/>
      <c r="FY15" s="136"/>
      <c r="FZ15" s="136"/>
      <c r="GA15" s="136"/>
      <c r="GB15" s="136"/>
      <c r="GC15" s="136"/>
      <c r="GD15" s="136"/>
      <c r="GE15" s="136"/>
      <c r="GF15" s="136"/>
      <c r="GG15" s="136"/>
      <c r="GH15" s="136"/>
      <c r="GI15" s="136"/>
      <c r="GJ15" s="136"/>
      <c r="GK15" s="136"/>
      <c r="GL15" s="136"/>
      <c r="GM15" s="140"/>
      <c r="GN15" s="138"/>
      <c r="GO15" s="138"/>
      <c r="GP15" s="143"/>
      <c r="GQ15" s="136"/>
      <c r="GR15" s="136"/>
      <c r="GS15" s="136"/>
      <c r="GT15" s="136"/>
      <c r="GU15" s="136"/>
      <c r="GV15" s="136"/>
      <c r="GW15" s="136"/>
      <c r="GX15" s="136"/>
      <c r="GY15" s="136"/>
      <c r="GZ15" s="136"/>
      <c r="HA15" s="136"/>
      <c r="HB15" s="136"/>
      <c r="HC15" s="137"/>
      <c r="HD15" s="136"/>
      <c r="HE15" s="136"/>
      <c r="HF15" s="136"/>
      <c r="HG15" s="136"/>
      <c r="HH15" s="136"/>
      <c r="HI15" s="136"/>
      <c r="HJ15" s="136"/>
      <c r="HK15" s="136"/>
      <c r="HL15" s="136"/>
      <c r="HM15" s="136"/>
      <c r="HN15" s="136"/>
      <c r="HO15" s="136"/>
      <c r="HP15" s="136"/>
      <c r="HQ15" s="136"/>
      <c r="HR15" s="138"/>
      <c r="HS15" s="138"/>
      <c r="HT15" s="136"/>
      <c r="HU15" s="140"/>
      <c r="HV15" s="141"/>
      <c r="HW15" s="143"/>
      <c r="HX15" s="136"/>
      <c r="HY15" s="136"/>
      <c r="HZ15" s="136"/>
      <c r="IA15" s="136"/>
      <c r="IB15" s="136"/>
      <c r="IC15" s="136"/>
      <c r="ID15" s="136"/>
      <c r="IE15" s="136"/>
      <c r="IF15" s="136"/>
      <c r="IG15" s="136"/>
      <c r="IH15" s="136"/>
      <c r="II15" s="136"/>
      <c r="IJ15" s="137"/>
      <c r="IK15" s="136"/>
      <c r="IL15" s="136"/>
      <c r="IM15" s="136"/>
      <c r="IN15" s="136"/>
      <c r="IO15" s="136"/>
      <c r="IP15" s="136"/>
      <c r="IQ15" s="136"/>
      <c r="IR15" s="136"/>
      <c r="IS15" s="136"/>
      <c r="IT15" s="136"/>
      <c r="IU15" s="136"/>
      <c r="IV15" s="138"/>
      <c r="IW15" s="138"/>
      <c r="IX15" s="136"/>
      <c r="IY15" s="136"/>
      <c r="IZ15" s="136"/>
      <c r="JA15" s="136"/>
      <c r="JB15" s="140"/>
      <c r="JC15" s="141"/>
      <c r="JD15" s="143"/>
      <c r="JE15" s="136"/>
      <c r="JF15" s="136"/>
      <c r="JG15" s="136"/>
      <c r="JH15" s="136"/>
      <c r="JI15" s="136"/>
      <c r="JJ15" s="136"/>
      <c r="JK15" s="136"/>
      <c r="JL15" s="136"/>
      <c r="JM15" s="136"/>
      <c r="JN15" s="136"/>
      <c r="JO15" s="136"/>
      <c r="JP15" s="136"/>
      <c r="JQ15" s="137"/>
      <c r="JR15" s="136"/>
      <c r="JS15" s="136"/>
      <c r="JT15" s="136"/>
      <c r="JU15" s="136"/>
      <c r="JV15" s="136"/>
      <c r="JW15" s="136"/>
      <c r="JX15" s="136"/>
      <c r="JY15" s="136"/>
      <c r="JZ15" s="136"/>
      <c r="KA15" s="136"/>
      <c r="KB15" s="136"/>
      <c r="KC15" s="136"/>
      <c r="KD15" s="136"/>
      <c r="KE15" s="136"/>
      <c r="KF15" s="136"/>
      <c r="KG15" s="138"/>
      <c r="KH15" s="138"/>
      <c r="KI15" s="140"/>
      <c r="KJ15" s="143"/>
      <c r="KK15" s="136"/>
      <c r="KL15" s="136"/>
      <c r="KM15" s="136"/>
      <c r="KN15" s="136"/>
      <c r="KO15" s="136"/>
      <c r="KP15" s="136"/>
      <c r="KQ15" s="136"/>
      <c r="KR15" s="136"/>
      <c r="KS15" s="136"/>
      <c r="KT15" s="136"/>
      <c r="KU15" s="136"/>
      <c r="KV15" s="136"/>
      <c r="KW15" s="137"/>
      <c r="KX15" s="136"/>
      <c r="KY15" s="136"/>
      <c r="KZ15" s="136"/>
      <c r="LA15" s="136"/>
      <c r="LB15" s="136"/>
      <c r="LC15" s="136"/>
      <c r="LD15" s="136"/>
      <c r="LE15" s="136"/>
      <c r="LF15" s="136"/>
      <c r="LG15" s="136"/>
      <c r="LH15" s="136"/>
      <c r="LI15" s="136"/>
      <c r="LJ15" s="136"/>
      <c r="LK15" s="138"/>
      <c r="LL15" s="138"/>
      <c r="LM15" s="136"/>
      <c r="LN15" s="136"/>
      <c r="LO15" s="140"/>
      <c r="LP15" s="141"/>
      <c r="LQ15" s="136"/>
      <c r="LR15" s="136"/>
      <c r="LS15" s="136"/>
      <c r="LT15" s="136"/>
      <c r="LU15" s="136"/>
      <c r="LV15" s="136"/>
      <c r="LW15" s="136"/>
      <c r="LX15" s="136"/>
      <c r="LY15" s="136"/>
      <c r="LZ15" s="136"/>
      <c r="MA15" s="136"/>
      <c r="MB15" s="136"/>
      <c r="MC15" s="136"/>
      <c r="MD15" s="137"/>
      <c r="ME15" s="136"/>
      <c r="MF15" s="136"/>
      <c r="MG15" s="136"/>
      <c r="MH15" s="136"/>
      <c r="MI15" s="136"/>
      <c r="MJ15" s="136"/>
      <c r="MK15" s="136"/>
      <c r="ML15" s="136"/>
      <c r="MM15" s="136"/>
      <c r="MN15" s="136"/>
      <c r="MO15" s="138"/>
      <c r="MP15" s="138"/>
      <c r="MQ15" s="136"/>
      <c r="MR15" s="136"/>
      <c r="MS15" s="136"/>
      <c r="MT15" s="136"/>
      <c r="MU15" s="136"/>
      <c r="MV15" s="140"/>
      <c r="MW15" s="143"/>
      <c r="MX15" s="136"/>
      <c r="MY15" s="136"/>
      <c r="MZ15" s="136"/>
      <c r="NA15" s="136"/>
      <c r="NB15" s="136"/>
      <c r="NC15" s="136"/>
      <c r="ND15" s="136"/>
      <c r="NE15" s="136"/>
      <c r="NF15" s="136"/>
      <c r="NG15" s="136"/>
      <c r="NH15" s="136"/>
      <c r="NI15" s="136"/>
      <c r="NJ15" s="137"/>
      <c r="NK15" s="136"/>
      <c r="NL15" s="136"/>
      <c r="NM15" s="136"/>
      <c r="NN15" s="136"/>
      <c r="NO15" s="136"/>
      <c r="NP15" s="136"/>
      <c r="NQ15" s="136"/>
      <c r="NR15" s="136"/>
      <c r="NS15" s="136"/>
      <c r="NT15" s="136"/>
      <c r="NU15" s="136"/>
      <c r="NV15" s="136"/>
      <c r="NW15" s="136"/>
      <c r="NX15" s="136"/>
      <c r="NY15" s="136"/>
      <c r="NZ15" s="138"/>
      <c r="OA15" s="138"/>
      <c r="OB15" s="140"/>
      <c r="OC15" s="141"/>
      <c r="OD15" s="138"/>
      <c r="OE15" s="138"/>
    </row>
    <row r="16" ht="26.25" customHeight="1">
      <c r="A16" s="98" t="s">
        <v>74</v>
      </c>
      <c r="B16" s="99" t="s">
        <v>72</v>
      </c>
      <c r="C16" s="100" t="s">
        <v>24</v>
      </c>
      <c r="D16" s="102"/>
      <c r="E16" s="102"/>
      <c r="F16" s="102"/>
      <c r="G16" s="102"/>
      <c r="H16" s="102" t="s">
        <v>12</v>
      </c>
      <c r="I16" s="102" t="s">
        <v>12</v>
      </c>
      <c r="J16" s="102" t="s">
        <v>12</v>
      </c>
      <c r="K16" s="102"/>
      <c r="L16" s="102"/>
      <c r="M16" s="102"/>
      <c r="N16" s="102"/>
      <c r="O16" s="102" t="s">
        <v>12</v>
      </c>
      <c r="P16" s="102" t="s">
        <v>12</v>
      </c>
      <c r="Q16" s="102" t="s">
        <v>12</v>
      </c>
      <c r="R16" s="102"/>
      <c r="S16" s="102"/>
      <c r="T16" s="102"/>
      <c r="U16" s="102"/>
      <c r="V16" s="102">
        <v>2.0</v>
      </c>
      <c r="W16" s="102">
        <v>2.0</v>
      </c>
      <c r="X16" s="102">
        <v>2.0</v>
      </c>
      <c r="Y16" s="102"/>
      <c r="Z16" s="102"/>
      <c r="AA16" s="102"/>
      <c r="AB16" s="102"/>
      <c r="AC16" s="102">
        <v>3.0</v>
      </c>
      <c r="AD16" s="102">
        <v>3.0</v>
      </c>
      <c r="AE16" s="102">
        <v>3.0</v>
      </c>
      <c r="AF16" s="104">
        <f>COUNTIF(D16:AE16,"D")/3</f>
        <v>2</v>
      </c>
      <c r="AG16" s="104">
        <f>COUNTIF(D16:AE16,"D")/3</f>
        <v>2</v>
      </c>
      <c r="AH16" s="153"/>
      <c r="AI16" s="154"/>
      <c r="AJ16" s="155"/>
      <c r="AK16" s="159"/>
      <c r="AL16" s="102" t="s">
        <v>12</v>
      </c>
      <c r="AM16" s="102" t="s">
        <v>12</v>
      </c>
      <c r="AN16" s="102" t="s">
        <v>12</v>
      </c>
      <c r="AO16" s="111"/>
      <c r="AP16" s="111"/>
      <c r="AQ16" s="102"/>
      <c r="AR16" s="102"/>
      <c r="AS16" s="102">
        <v>2.0</v>
      </c>
      <c r="AT16" s="102">
        <v>2.0</v>
      </c>
      <c r="AU16" s="102">
        <v>2.0</v>
      </c>
      <c r="AV16" s="102"/>
      <c r="AW16" s="102"/>
      <c r="AX16" s="102"/>
      <c r="AY16" s="102"/>
      <c r="AZ16" s="102" t="s">
        <v>12</v>
      </c>
      <c r="BA16" s="102" t="s">
        <v>12</v>
      </c>
      <c r="BB16" s="102" t="s">
        <v>12</v>
      </c>
      <c r="BC16" s="102"/>
      <c r="BD16" s="102"/>
      <c r="BE16" s="102"/>
      <c r="BF16" s="102"/>
      <c r="BG16" s="102" t="s">
        <v>68</v>
      </c>
      <c r="BH16" s="102">
        <v>3.0</v>
      </c>
      <c r="BI16" s="102">
        <v>3.0</v>
      </c>
      <c r="BJ16" s="104">
        <f>COUNTIF(AH16:BI16,"D")/3</f>
        <v>2</v>
      </c>
      <c r="BK16" s="104">
        <f>COUNTIF(AH16:BI16,"D")/3</f>
        <v>2</v>
      </c>
      <c r="BL16" s="102"/>
      <c r="BM16" s="102"/>
      <c r="BN16" s="102"/>
      <c r="BO16" s="102"/>
      <c r="BP16" s="105">
        <v>2.0</v>
      </c>
      <c r="BQ16" s="102">
        <v>2.0</v>
      </c>
      <c r="BR16" s="102">
        <v>2.0</v>
      </c>
      <c r="BS16" s="102"/>
      <c r="BT16" s="102"/>
      <c r="BU16" s="102"/>
      <c r="BV16" s="102"/>
      <c r="BW16" s="102">
        <v>3.0</v>
      </c>
      <c r="BX16" s="102">
        <v>3.0</v>
      </c>
      <c r="BY16" s="102">
        <v>3.0</v>
      </c>
      <c r="BZ16" s="102"/>
      <c r="CA16" s="102"/>
      <c r="CB16" s="102"/>
      <c r="CC16" s="102"/>
      <c r="CD16" s="102" t="s">
        <v>12</v>
      </c>
      <c r="CE16" s="102" t="s">
        <v>12</v>
      </c>
      <c r="CF16" s="102" t="s">
        <v>12</v>
      </c>
      <c r="CG16" s="102"/>
      <c r="CH16" s="102"/>
      <c r="CI16" s="102"/>
      <c r="CJ16" s="102"/>
      <c r="CK16" s="102" t="s">
        <v>12</v>
      </c>
      <c r="CL16" s="102" t="s">
        <v>12</v>
      </c>
      <c r="CM16" s="102" t="s">
        <v>12</v>
      </c>
      <c r="CN16" s="102"/>
      <c r="CO16" s="102"/>
      <c r="CP16" s="111"/>
      <c r="CQ16" s="102"/>
      <c r="CR16" s="102" t="s">
        <v>12</v>
      </c>
      <c r="CS16" s="102" t="s">
        <v>12</v>
      </c>
      <c r="CT16" s="106" t="s">
        <v>12</v>
      </c>
      <c r="CU16" s="104">
        <f>COUNTIF(BL16:CT16,"D")/3</f>
        <v>3</v>
      </c>
      <c r="CV16" s="104">
        <f>COUNTIF(BL16:CT16,"D")/3</f>
        <v>3</v>
      </c>
      <c r="CW16" s="105"/>
      <c r="CX16" s="102"/>
      <c r="CY16" s="110"/>
      <c r="CZ16" s="102"/>
      <c r="DA16" s="102">
        <v>3.0</v>
      </c>
      <c r="DB16" s="102">
        <v>3.0</v>
      </c>
      <c r="DC16" s="102">
        <v>3.0</v>
      </c>
      <c r="DD16" s="102"/>
      <c r="DE16" s="102"/>
      <c r="DF16" s="102"/>
      <c r="DG16" s="102"/>
      <c r="DH16" s="102" t="s">
        <v>12</v>
      </c>
      <c r="DI16" s="102" t="s">
        <v>12</v>
      </c>
      <c r="DJ16" s="102" t="s">
        <v>12</v>
      </c>
      <c r="DK16" s="102"/>
      <c r="DL16" s="156"/>
      <c r="DM16" s="102"/>
      <c r="DN16" s="102"/>
      <c r="DO16" s="102" t="s">
        <v>12</v>
      </c>
      <c r="DP16" s="102" t="s">
        <v>12</v>
      </c>
      <c r="DQ16" s="102" t="s">
        <v>12</v>
      </c>
      <c r="DR16" s="102"/>
      <c r="DS16" s="102"/>
      <c r="DT16" s="102"/>
      <c r="DU16" s="102"/>
      <c r="DV16" s="102">
        <v>2.0</v>
      </c>
      <c r="DW16" s="102">
        <v>2.0</v>
      </c>
      <c r="DX16" s="102">
        <v>2.0</v>
      </c>
      <c r="DY16" s="104">
        <f>COUNTIF(CW16:DX16,"D")/3</f>
        <v>2</v>
      </c>
      <c r="DZ16" s="104">
        <f>COUNTIF(CW16:DX16,"D")/3</f>
        <v>2</v>
      </c>
      <c r="EA16" s="102"/>
      <c r="EB16" s="106"/>
      <c r="EC16" s="105"/>
      <c r="ED16" s="102"/>
      <c r="EE16" s="102">
        <v>2.0</v>
      </c>
      <c r="EF16" s="102">
        <v>2.0</v>
      </c>
      <c r="EG16" s="102">
        <v>2.0</v>
      </c>
      <c r="EH16" s="102"/>
      <c r="EI16" s="102"/>
      <c r="EJ16" s="102"/>
      <c r="EK16" s="102"/>
      <c r="EL16" s="102" t="s">
        <v>12</v>
      </c>
      <c r="EM16" s="102" t="s">
        <v>12</v>
      </c>
      <c r="EN16" s="102" t="s">
        <v>12</v>
      </c>
      <c r="EO16" s="111"/>
      <c r="EP16" s="102"/>
      <c r="EQ16" s="102"/>
      <c r="ER16" s="102"/>
      <c r="ES16" s="102" t="s">
        <v>12</v>
      </c>
      <c r="ET16" s="102" t="s">
        <v>12</v>
      </c>
      <c r="EU16" s="102" t="s">
        <v>12</v>
      </c>
      <c r="EV16" s="102"/>
      <c r="EW16" s="102"/>
      <c r="EX16" s="102"/>
      <c r="EY16" s="102"/>
      <c r="EZ16" s="102">
        <v>3.0</v>
      </c>
      <c r="FA16" s="102">
        <v>3.0</v>
      </c>
      <c r="FB16" s="102">
        <v>3.0</v>
      </c>
      <c r="FC16" s="104">
        <f>COUNTIF(EA16:FB16,"D")/3</f>
        <v>2</v>
      </c>
      <c r="FD16" s="104">
        <f>COUNTIF(EA16:FB16,"D")/3</f>
        <v>2</v>
      </c>
      <c r="FE16" s="102"/>
      <c r="FF16" s="102"/>
      <c r="FG16" s="102"/>
      <c r="FH16" s="113"/>
      <c r="FI16" s="106" t="s">
        <v>12</v>
      </c>
      <c r="FJ16" s="105" t="s">
        <v>12</v>
      </c>
      <c r="FK16" s="102" t="s">
        <v>12</v>
      </c>
      <c r="FL16" s="102"/>
      <c r="FM16" s="102"/>
      <c r="FN16" s="102"/>
      <c r="FO16" s="102"/>
      <c r="FP16" s="102" t="s">
        <v>12</v>
      </c>
      <c r="FQ16" s="102" t="s">
        <v>12</v>
      </c>
      <c r="FR16" s="102" t="s">
        <v>12</v>
      </c>
      <c r="FS16" s="102"/>
      <c r="FT16" s="112"/>
      <c r="FU16" s="102"/>
      <c r="FV16" s="102"/>
      <c r="FW16" s="102" t="s">
        <v>12</v>
      </c>
      <c r="FX16" s="102" t="s">
        <v>12</v>
      </c>
      <c r="FY16" s="102" t="s">
        <v>12</v>
      </c>
      <c r="FZ16" s="102"/>
      <c r="GA16" s="102"/>
      <c r="GB16" s="102"/>
      <c r="GC16" s="102"/>
      <c r="GD16" s="102" t="s">
        <v>12</v>
      </c>
      <c r="GE16" s="102" t="s">
        <v>12</v>
      </c>
      <c r="GF16" s="102" t="s">
        <v>12</v>
      </c>
      <c r="GG16" s="102"/>
      <c r="GH16" s="102"/>
      <c r="GI16" s="102"/>
      <c r="GJ16" s="111"/>
      <c r="GK16" s="102" t="s">
        <v>12</v>
      </c>
      <c r="GL16" s="102" t="s">
        <v>12</v>
      </c>
      <c r="GM16" s="113" t="s">
        <v>12</v>
      </c>
      <c r="GN16" s="104">
        <f>COUNTIF(FE16:GM16,"D")/3</f>
        <v>5</v>
      </c>
      <c r="GO16" s="104">
        <f>COUNTIF(FE16:GM16,"D")/3</f>
        <v>5</v>
      </c>
      <c r="GP16" s="105"/>
      <c r="GQ16" s="102"/>
      <c r="GR16" s="102"/>
      <c r="GS16" s="102"/>
      <c r="GT16" s="102">
        <v>3.0</v>
      </c>
      <c r="GU16" s="102">
        <v>3.0</v>
      </c>
      <c r="GV16" s="102"/>
      <c r="GW16" s="102"/>
      <c r="GX16" s="102"/>
      <c r="GY16" s="102"/>
      <c r="GZ16" s="102"/>
      <c r="HA16" s="102" t="s">
        <v>12</v>
      </c>
      <c r="HB16" s="102">
        <v>1.0</v>
      </c>
      <c r="HC16" s="102">
        <v>1.0</v>
      </c>
      <c r="HD16" s="102"/>
      <c r="HE16" s="102"/>
      <c r="HF16" s="102"/>
      <c r="HG16" s="102"/>
      <c r="HH16" s="102" t="s">
        <v>12</v>
      </c>
      <c r="HI16" s="102" t="s">
        <v>12</v>
      </c>
      <c r="HJ16" s="102" t="s">
        <v>12</v>
      </c>
      <c r="HK16" s="102"/>
      <c r="HL16" s="102"/>
      <c r="HM16" s="102"/>
      <c r="HN16" s="102"/>
      <c r="HO16" s="102" t="s">
        <v>12</v>
      </c>
      <c r="HP16" s="102" t="s">
        <v>12</v>
      </c>
      <c r="HQ16" s="102" t="s">
        <v>12</v>
      </c>
      <c r="HR16" s="104">
        <f>COUNTIF(GP16:HQ16,"D")/3</f>
        <v>2.333333333</v>
      </c>
      <c r="HS16" s="104">
        <f>COUNTIF(GP16:HQ16,"D")/3</f>
        <v>2.333333333</v>
      </c>
      <c r="HT16" s="102"/>
      <c r="HU16" s="113"/>
      <c r="HV16" s="106"/>
      <c r="HW16" s="105"/>
      <c r="HX16" s="102" t="s">
        <v>12</v>
      </c>
      <c r="HY16" s="102" t="s">
        <v>12</v>
      </c>
      <c r="HZ16" s="102" t="s">
        <v>12</v>
      </c>
      <c r="IA16" s="102"/>
      <c r="IB16" s="102"/>
      <c r="IC16" s="102"/>
      <c r="ID16" s="102"/>
      <c r="IE16" s="102">
        <v>2.0</v>
      </c>
      <c r="IF16" s="102">
        <v>2.0</v>
      </c>
      <c r="IG16" s="102">
        <v>2.0</v>
      </c>
      <c r="IH16" s="102"/>
      <c r="II16" s="102"/>
      <c r="IJ16" s="102"/>
      <c r="IK16" s="102"/>
      <c r="IL16" s="102" t="s">
        <v>12</v>
      </c>
      <c r="IM16" s="102" t="s">
        <v>12</v>
      </c>
      <c r="IN16" s="102" t="s">
        <v>12</v>
      </c>
      <c r="IO16" s="102"/>
      <c r="IP16" s="102"/>
      <c r="IQ16" s="102"/>
      <c r="IR16" s="102"/>
      <c r="IS16" s="102">
        <v>3.0</v>
      </c>
      <c r="IT16" s="102">
        <v>3.0</v>
      </c>
      <c r="IU16" s="102">
        <v>3.0</v>
      </c>
      <c r="IV16" s="104">
        <f>COUNTIF(HT16:IU16,"D")/3</f>
        <v>2</v>
      </c>
      <c r="IW16" s="104">
        <f>COUNTIF(HT16:IU16,"D")/3</f>
        <v>2</v>
      </c>
      <c r="IX16" s="102"/>
      <c r="IY16" s="102"/>
      <c r="IZ16" s="102"/>
      <c r="JA16" s="102"/>
      <c r="JB16" s="113">
        <v>2.0</v>
      </c>
      <c r="JC16" s="106">
        <v>2.0</v>
      </c>
      <c r="JD16" s="105">
        <v>2.0</v>
      </c>
      <c r="JE16" s="102"/>
      <c r="JF16" s="102"/>
      <c r="JG16" s="102"/>
      <c r="JH16" s="102"/>
      <c r="JI16" s="102">
        <v>2.0</v>
      </c>
      <c r="JJ16" s="102">
        <v>2.0</v>
      </c>
      <c r="JK16" s="102">
        <v>2.0</v>
      </c>
      <c r="JL16" s="102"/>
      <c r="JM16" s="102"/>
      <c r="JN16" s="102"/>
      <c r="JO16" s="102"/>
      <c r="JP16" s="102" t="s">
        <v>12</v>
      </c>
      <c r="JQ16" s="102" t="s">
        <v>12</v>
      </c>
      <c r="JR16" s="102" t="s">
        <v>12</v>
      </c>
      <c r="JS16" s="102"/>
      <c r="JT16" s="102"/>
      <c r="JU16" s="102"/>
      <c r="JV16" s="102"/>
      <c r="JW16" s="102" t="s">
        <v>12</v>
      </c>
      <c r="JX16" s="102" t="s">
        <v>12</v>
      </c>
      <c r="JY16" s="102" t="s">
        <v>12</v>
      </c>
      <c r="JZ16" s="102"/>
      <c r="KA16" s="102"/>
      <c r="KB16" s="102"/>
      <c r="KC16" s="102"/>
      <c r="KD16" s="102">
        <v>3.0</v>
      </c>
      <c r="KE16" s="102">
        <v>3.0</v>
      </c>
      <c r="KF16" s="102">
        <v>3.0</v>
      </c>
      <c r="KG16" s="104">
        <f>COUNTIF(IX16:KF16,"D")/3</f>
        <v>2</v>
      </c>
      <c r="KH16" s="104">
        <f>COUNTIF(IX16:KF16,"D")/3</f>
        <v>2</v>
      </c>
      <c r="KI16" s="113"/>
      <c r="KJ16" s="105"/>
      <c r="KK16" s="102"/>
      <c r="KL16" s="102"/>
      <c r="KM16" s="102">
        <v>2.0</v>
      </c>
      <c r="KN16" s="102">
        <v>2.0</v>
      </c>
      <c r="KO16" s="102">
        <v>2.0</v>
      </c>
      <c r="KP16" s="102"/>
      <c r="KQ16" s="102"/>
      <c r="KR16" s="102"/>
      <c r="KS16" s="102"/>
      <c r="KT16" s="102" t="s">
        <v>12</v>
      </c>
      <c r="KU16" s="102" t="s">
        <v>12</v>
      </c>
      <c r="KV16" s="102" t="s">
        <v>12</v>
      </c>
      <c r="KW16" s="102"/>
      <c r="KX16" s="102"/>
      <c r="KY16" s="102"/>
      <c r="KZ16" s="102"/>
      <c r="LA16" s="102">
        <v>3.0</v>
      </c>
      <c r="LB16" s="102">
        <v>3.0</v>
      </c>
      <c r="LC16" s="102">
        <v>3.0</v>
      </c>
      <c r="LD16" s="102"/>
      <c r="LE16" s="102"/>
      <c r="LF16" s="102"/>
      <c r="LG16" s="102"/>
      <c r="LH16" s="102" t="s">
        <v>12</v>
      </c>
      <c r="LI16" s="102" t="s">
        <v>12</v>
      </c>
      <c r="LJ16" s="102" t="s">
        <v>12</v>
      </c>
      <c r="LK16" s="104">
        <f>COUNTIF(KI16:LJ16,"D")/3</f>
        <v>2</v>
      </c>
      <c r="LL16" s="104">
        <f>COUNTIF(KI16:LJ16,"D")/3</f>
        <v>2</v>
      </c>
      <c r="LM16" s="102"/>
      <c r="LN16" s="102"/>
      <c r="LO16" s="113"/>
      <c r="LP16" s="106"/>
      <c r="LQ16" s="102" t="s">
        <v>12</v>
      </c>
      <c r="LR16" s="102" t="s">
        <v>12</v>
      </c>
      <c r="LS16" s="102" t="s">
        <v>12</v>
      </c>
      <c r="LT16" s="102"/>
      <c r="LU16" s="102"/>
      <c r="LV16" s="102"/>
      <c r="LW16" s="102"/>
      <c r="LX16" s="102">
        <v>2.0</v>
      </c>
      <c r="LY16" s="102">
        <v>2.0</v>
      </c>
      <c r="LZ16" s="102">
        <v>2.0</v>
      </c>
      <c r="MA16" s="102"/>
      <c r="MB16" s="102"/>
      <c r="MC16" s="102"/>
      <c r="MD16" s="102"/>
      <c r="ME16" s="102" t="s">
        <v>12</v>
      </c>
      <c r="MF16" s="102" t="s">
        <v>12</v>
      </c>
      <c r="MG16" s="102" t="s">
        <v>12</v>
      </c>
      <c r="MH16" s="102"/>
      <c r="MI16" s="102"/>
      <c r="MJ16" s="102"/>
      <c r="MK16" s="102"/>
      <c r="ML16" s="102">
        <v>3.0</v>
      </c>
      <c r="MM16" s="102">
        <v>3.0</v>
      </c>
      <c r="MN16" s="102">
        <v>3.0</v>
      </c>
      <c r="MO16" s="104">
        <f>COUNTIF(LM16:MN16,"D")/3</f>
        <v>2</v>
      </c>
      <c r="MP16" s="104">
        <f>COUNTIF(LM16:MN16,"D")/3</f>
        <v>2</v>
      </c>
      <c r="MQ16" s="102"/>
      <c r="MR16" s="102"/>
      <c r="MS16" s="102"/>
      <c r="MT16" s="102"/>
      <c r="MU16" s="102">
        <v>2.0</v>
      </c>
      <c r="MV16" s="113">
        <v>2.0</v>
      </c>
      <c r="MW16" s="105">
        <v>2.0</v>
      </c>
      <c r="MX16" s="102"/>
      <c r="MY16" s="102"/>
      <c r="MZ16" s="102"/>
      <c r="NA16" s="102"/>
      <c r="NB16" s="102" t="s">
        <v>12</v>
      </c>
      <c r="NC16" s="102" t="s">
        <v>12</v>
      </c>
      <c r="ND16" s="102" t="s">
        <v>12</v>
      </c>
      <c r="NE16" s="102"/>
      <c r="NF16" s="102"/>
      <c r="NG16" s="102"/>
      <c r="NH16" s="102"/>
      <c r="NI16" s="102" t="s">
        <v>12</v>
      </c>
      <c r="NJ16" s="102" t="s">
        <v>12</v>
      </c>
      <c r="NK16" s="102" t="s">
        <v>12</v>
      </c>
      <c r="NL16" s="102"/>
      <c r="NM16" s="102"/>
      <c r="NN16" s="102"/>
      <c r="NO16" s="102"/>
      <c r="NP16" s="102"/>
      <c r="NQ16" s="102"/>
      <c r="NR16" s="102"/>
      <c r="NS16" s="102"/>
      <c r="NT16" s="102"/>
      <c r="NU16" s="102"/>
      <c r="NV16" s="102"/>
      <c r="NW16" s="102"/>
      <c r="NX16" s="102"/>
      <c r="NY16" s="102"/>
      <c r="NZ16" s="104">
        <f>COUNTIF(MQ16:NY16,"D")/3</f>
        <v>2</v>
      </c>
      <c r="OA16" s="104">
        <f>COUNTIF(MQ16:NY16,"D")/3</f>
        <v>2</v>
      </c>
      <c r="OB16" s="113"/>
      <c r="OC16" s="106"/>
      <c r="OD16" s="104">
        <f t="shared" ref="OD16:OE16" si="6">SUM(AF16,BJ16,CU16,DY16,FC16,GN16,HR16,IV16,KG16,LK16,MO16,NZ16)</f>
        <v>28.33333333</v>
      </c>
      <c r="OE16" s="104">
        <f t="shared" si="6"/>
        <v>28.33333333</v>
      </c>
    </row>
    <row r="17" ht="26.25" customHeight="1">
      <c r="A17" s="73"/>
      <c r="B17" s="74"/>
      <c r="C17" s="114"/>
      <c r="D17" s="143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36"/>
      <c r="S17" s="136"/>
      <c r="T17" s="136"/>
      <c r="U17" s="136"/>
      <c r="V17" s="136"/>
      <c r="W17" s="136"/>
      <c r="X17" s="136"/>
      <c r="Y17" s="136"/>
      <c r="Z17" s="157"/>
      <c r="AA17" s="136"/>
      <c r="AB17" s="136"/>
      <c r="AC17" s="136"/>
      <c r="AD17" s="136"/>
      <c r="AE17" s="136"/>
      <c r="AF17" s="158"/>
      <c r="AG17" s="158"/>
      <c r="AH17" s="143"/>
      <c r="AI17" s="140"/>
      <c r="AJ17" s="141"/>
      <c r="AK17" s="142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7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58"/>
      <c r="BK17" s="158"/>
      <c r="BL17" s="136"/>
      <c r="BM17" s="136"/>
      <c r="BN17" s="136"/>
      <c r="BO17" s="136"/>
      <c r="BP17" s="143"/>
      <c r="BQ17" s="11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7"/>
      <c r="CD17" s="136"/>
      <c r="CE17" s="136"/>
      <c r="CF17" s="136"/>
      <c r="CG17" s="136"/>
      <c r="CH17" s="116"/>
      <c r="CI17" s="136"/>
      <c r="CJ17" s="136"/>
      <c r="CK17" s="136"/>
      <c r="CL17" s="136"/>
      <c r="CM17" s="136"/>
      <c r="CN17" s="136"/>
      <c r="CO17" s="136"/>
      <c r="CP17" s="116"/>
      <c r="CQ17" s="136"/>
      <c r="CR17" s="136"/>
      <c r="CS17" s="140"/>
      <c r="CT17" s="141"/>
      <c r="CU17" s="158"/>
      <c r="CV17" s="158"/>
      <c r="CW17" s="143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36"/>
      <c r="DJ17" s="137"/>
      <c r="DK17" s="136"/>
      <c r="DL17" s="162"/>
      <c r="DM17" s="136"/>
      <c r="DN17" s="136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58"/>
      <c r="DZ17" s="158"/>
      <c r="EA17" s="136"/>
      <c r="EB17" s="141"/>
      <c r="EC17" s="115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50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58"/>
      <c r="FD17" s="158"/>
      <c r="FE17" s="116"/>
      <c r="FF17" s="116"/>
      <c r="FG17" s="116"/>
      <c r="FH17" s="120"/>
      <c r="FI17" s="118"/>
      <c r="FJ17" s="143"/>
      <c r="FK17" s="136"/>
      <c r="FL17" s="136"/>
      <c r="FM17" s="136"/>
      <c r="FN17" s="136"/>
      <c r="FO17" s="136"/>
      <c r="FP17" s="136"/>
      <c r="FQ17" s="136"/>
      <c r="FR17" s="136"/>
      <c r="FS17" s="136"/>
      <c r="FT17" s="136"/>
      <c r="FU17" s="136"/>
      <c r="FV17" s="136"/>
      <c r="FW17" s="137"/>
      <c r="FX17" s="136"/>
      <c r="FY17" s="136"/>
      <c r="FZ17" s="136"/>
      <c r="GA17" s="136"/>
      <c r="GB17" s="136"/>
      <c r="GC17" s="136"/>
      <c r="GD17" s="136"/>
      <c r="GE17" s="136"/>
      <c r="GF17" s="136"/>
      <c r="GG17" s="136"/>
      <c r="GH17" s="136"/>
      <c r="GI17" s="136"/>
      <c r="GJ17" s="136"/>
      <c r="GK17" s="136"/>
      <c r="GL17" s="136"/>
      <c r="GM17" s="140"/>
      <c r="GN17" s="158"/>
      <c r="GO17" s="158"/>
      <c r="GP17" s="143"/>
      <c r="GQ17" s="136"/>
      <c r="GR17" s="136"/>
      <c r="GS17" s="136"/>
      <c r="GT17" s="136"/>
      <c r="GU17" s="136"/>
      <c r="GV17" s="136"/>
      <c r="GW17" s="136"/>
      <c r="GX17" s="136"/>
      <c r="GY17" s="136"/>
      <c r="GZ17" s="136"/>
      <c r="HA17" s="136"/>
      <c r="HB17" s="136"/>
      <c r="HC17" s="137"/>
      <c r="HD17" s="136"/>
      <c r="HE17" s="136"/>
      <c r="HF17" s="136"/>
      <c r="HG17" s="136"/>
      <c r="HH17" s="136"/>
      <c r="HI17" s="136"/>
      <c r="HJ17" s="136"/>
      <c r="HK17" s="136"/>
      <c r="HL17" s="136"/>
      <c r="HM17" s="136"/>
      <c r="HN17" s="136"/>
      <c r="HO17" s="136"/>
      <c r="HP17" s="136"/>
      <c r="HQ17" s="136"/>
      <c r="HR17" s="158"/>
      <c r="HS17" s="158"/>
      <c r="HT17" s="136"/>
      <c r="HU17" s="140"/>
      <c r="HV17" s="141"/>
      <c r="HW17" s="143"/>
      <c r="HX17" s="136"/>
      <c r="HY17" s="136"/>
      <c r="HZ17" s="136"/>
      <c r="IA17" s="136"/>
      <c r="IB17" s="136"/>
      <c r="IC17" s="136"/>
      <c r="ID17" s="136"/>
      <c r="IE17" s="136"/>
      <c r="IF17" s="136"/>
      <c r="IG17" s="136"/>
      <c r="IH17" s="136"/>
      <c r="II17" s="136"/>
      <c r="IJ17" s="137"/>
      <c r="IK17" s="136"/>
      <c r="IL17" s="136"/>
      <c r="IM17" s="136"/>
      <c r="IN17" s="136"/>
      <c r="IO17" s="136"/>
      <c r="IP17" s="136"/>
      <c r="IQ17" s="136"/>
      <c r="IR17" s="136"/>
      <c r="IS17" s="136"/>
      <c r="IT17" s="136"/>
      <c r="IU17" s="136"/>
      <c r="IV17" s="158"/>
      <c r="IW17" s="158"/>
      <c r="IX17" s="136"/>
      <c r="IY17" s="136"/>
      <c r="IZ17" s="136"/>
      <c r="JA17" s="136"/>
      <c r="JB17" s="140"/>
      <c r="JC17" s="141"/>
      <c r="JD17" s="143"/>
      <c r="JE17" s="136"/>
      <c r="JF17" s="136"/>
      <c r="JG17" s="136"/>
      <c r="JH17" s="136"/>
      <c r="JI17" s="136"/>
      <c r="JJ17" s="136"/>
      <c r="JK17" s="136"/>
      <c r="JL17" s="136"/>
      <c r="JM17" s="136"/>
      <c r="JN17" s="136"/>
      <c r="JO17" s="136"/>
      <c r="JP17" s="136"/>
      <c r="JQ17" s="137"/>
      <c r="JR17" s="136"/>
      <c r="JS17" s="136"/>
      <c r="JT17" s="136"/>
      <c r="JU17" s="136"/>
      <c r="JV17" s="136"/>
      <c r="JW17" s="136"/>
      <c r="JX17" s="136"/>
      <c r="JY17" s="136"/>
      <c r="JZ17" s="136"/>
      <c r="KA17" s="136"/>
      <c r="KB17" s="136"/>
      <c r="KC17" s="136"/>
      <c r="KD17" s="136"/>
      <c r="KE17" s="136"/>
      <c r="KF17" s="136"/>
      <c r="KG17" s="158"/>
      <c r="KH17" s="158"/>
      <c r="KI17" s="140"/>
      <c r="KJ17" s="143"/>
      <c r="KK17" s="136"/>
      <c r="KL17" s="136"/>
      <c r="KM17" s="136"/>
      <c r="KN17" s="136"/>
      <c r="KO17" s="136"/>
      <c r="KP17" s="136"/>
      <c r="KQ17" s="136"/>
      <c r="KR17" s="136"/>
      <c r="KS17" s="136"/>
      <c r="KT17" s="136"/>
      <c r="KU17" s="136"/>
      <c r="KV17" s="136"/>
      <c r="KW17" s="137"/>
      <c r="KX17" s="136"/>
      <c r="KY17" s="136"/>
      <c r="KZ17" s="136"/>
      <c r="LA17" s="136"/>
      <c r="LB17" s="136"/>
      <c r="LC17" s="136"/>
      <c r="LD17" s="136"/>
      <c r="LE17" s="136"/>
      <c r="LF17" s="136"/>
      <c r="LG17" s="136"/>
      <c r="LH17" s="136"/>
      <c r="LI17" s="136"/>
      <c r="LJ17" s="136"/>
      <c r="LK17" s="158"/>
      <c r="LL17" s="158"/>
      <c r="LM17" s="136"/>
      <c r="LN17" s="136"/>
      <c r="LO17" s="140"/>
      <c r="LP17" s="141"/>
      <c r="LQ17" s="136"/>
      <c r="LR17" s="136"/>
      <c r="LS17" s="136"/>
      <c r="LT17" s="136"/>
      <c r="LU17" s="136"/>
      <c r="LV17" s="136"/>
      <c r="LW17" s="136"/>
      <c r="LX17" s="136"/>
      <c r="LY17" s="136"/>
      <c r="LZ17" s="136"/>
      <c r="MA17" s="136"/>
      <c r="MB17" s="136"/>
      <c r="MC17" s="136"/>
      <c r="MD17" s="137"/>
      <c r="ME17" s="136"/>
      <c r="MF17" s="136"/>
      <c r="MG17" s="136"/>
      <c r="MH17" s="136"/>
      <c r="MI17" s="136"/>
      <c r="MJ17" s="136"/>
      <c r="MK17" s="136"/>
      <c r="ML17" s="136"/>
      <c r="MM17" s="136"/>
      <c r="MN17" s="136"/>
      <c r="MO17" s="158"/>
      <c r="MP17" s="158"/>
      <c r="MQ17" s="136"/>
      <c r="MR17" s="136"/>
      <c r="MS17" s="136"/>
      <c r="MT17" s="136"/>
      <c r="MU17" s="136"/>
      <c r="MV17" s="140"/>
      <c r="MW17" s="143"/>
      <c r="MX17" s="136"/>
      <c r="MY17" s="136"/>
      <c r="MZ17" s="136"/>
      <c r="NA17" s="136"/>
      <c r="NB17" s="136"/>
      <c r="NC17" s="136"/>
      <c r="ND17" s="136"/>
      <c r="NE17" s="136"/>
      <c r="NF17" s="136"/>
      <c r="NG17" s="136"/>
      <c r="NH17" s="136"/>
      <c r="NI17" s="136"/>
      <c r="NJ17" s="137"/>
      <c r="NK17" s="136"/>
      <c r="NL17" s="136"/>
      <c r="NM17" s="136"/>
      <c r="NN17" s="136"/>
      <c r="NO17" s="136"/>
      <c r="NP17" s="136"/>
      <c r="NQ17" s="136"/>
      <c r="NR17" s="136"/>
      <c r="NS17" s="136"/>
      <c r="NT17" s="136"/>
      <c r="NU17" s="136"/>
      <c r="NV17" s="136"/>
      <c r="NW17" s="136"/>
      <c r="NX17" s="136"/>
      <c r="NY17" s="136"/>
      <c r="NZ17" s="158"/>
      <c r="OA17" s="158"/>
      <c r="OB17" s="140"/>
      <c r="OC17" s="141"/>
      <c r="OD17" s="158"/>
      <c r="OE17" s="158"/>
    </row>
    <row r="18" ht="26.25" customHeight="1">
      <c r="A18" s="121" t="s">
        <v>75</v>
      </c>
      <c r="B18" s="122" t="s">
        <v>72</v>
      </c>
      <c r="C18" s="123" t="s">
        <v>25</v>
      </c>
      <c r="D18" s="102"/>
      <c r="E18" s="102"/>
      <c r="F18" s="102"/>
      <c r="G18" s="111"/>
      <c r="H18" s="102">
        <v>1.0</v>
      </c>
      <c r="I18" s="102">
        <v>2.0</v>
      </c>
      <c r="J18" s="102">
        <v>2.0</v>
      </c>
      <c r="K18" s="102"/>
      <c r="L18" s="102"/>
      <c r="M18" s="102"/>
      <c r="N18" s="102"/>
      <c r="O18" s="102">
        <v>3.0</v>
      </c>
      <c r="P18" s="102">
        <v>3.0</v>
      </c>
      <c r="Q18" s="102"/>
      <c r="R18" s="102"/>
      <c r="S18" s="102"/>
      <c r="T18" s="102"/>
      <c r="U18" s="111"/>
      <c r="V18" s="102" t="s">
        <v>12</v>
      </c>
      <c r="W18" s="102" t="s">
        <v>12</v>
      </c>
      <c r="X18" s="102" t="s">
        <v>12</v>
      </c>
      <c r="Y18" s="102"/>
      <c r="Z18" s="102"/>
      <c r="AA18" s="102"/>
      <c r="AB18" s="102"/>
      <c r="AC18" s="102" t="s">
        <v>12</v>
      </c>
      <c r="AD18" s="102" t="s">
        <v>12</v>
      </c>
      <c r="AE18" s="102" t="s">
        <v>12</v>
      </c>
      <c r="AF18" s="104">
        <f>COUNTIF(D18:AE18,"D")/3</f>
        <v>2</v>
      </c>
      <c r="AG18" s="104">
        <f>COUNTIF(D18:AE18,"D")/3</f>
        <v>2</v>
      </c>
      <c r="AH18" s="163"/>
      <c r="AI18" s="113"/>
      <c r="AJ18" s="106"/>
      <c r="AK18" s="107"/>
      <c r="AL18" s="102">
        <v>3.0</v>
      </c>
      <c r="AM18" s="102">
        <v>3.0</v>
      </c>
      <c r="AN18" s="102"/>
      <c r="AO18" s="102"/>
      <c r="AP18" s="102"/>
      <c r="AQ18" s="102"/>
      <c r="AR18" s="102"/>
      <c r="AS18" s="102" t="s">
        <v>12</v>
      </c>
      <c r="AT18" s="102" t="s">
        <v>12</v>
      </c>
      <c r="AU18" s="102" t="s">
        <v>12</v>
      </c>
      <c r="AV18" s="102"/>
      <c r="AW18" s="102"/>
      <c r="AX18" s="102"/>
      <c r="AY18" s="102"/>
      <c r="AZ18" s="102" t="s">
        <v>12</v>
      </c>
      <c r="BA18" s="102" t="s">
        <v>12</v>
      </c>
      <c r="BB18" s="102" t="s">
        <v>12</v>
      </c>
      <c r="BC18" s="102"/>
      <c r="BD18" s="111"/>
      <c r="BE18" s="102"/>
      <c r="BF18" s="111"/>
      <c r="BG18" s="102">
        <v>1.0</v>
      </c>
      <c r="BH18" s="102">
        <v>1.0</v>
      </c>
      <c r="BI18" s="102">
        <v>1.0</v>
      </c>
      <c r="BJ18" s="104">
        <f>COUNTIF(AH18:BI18,"D")/3</f>
        <v>2</v>
      </c>
      <c r="BK18" s="104">
        <f>COUNTIF(AH18:BI18,"D")/3</f>
        <v>2</v>
      </c>
      <c r="BL18" s="102"/>
      <c r="BM18" s="102"/>
      <c r="BN18" s="111"/>
      <c r="BO18" s="164"/>
      <c r="BP18" s="105" t="s">
        <v>12</v>
      </c>
      <c r="BQ18" s="102" t="s">
        <v>12</v>
      </c>
      <c r="BR18" s="102" t="s">
        <v>12</v>
      </c>
      <c r="BS18" s="110"/>
      <c r="BT18" s="102"/>
      <c r="BU18" s="110"/>
      <c r="BV18" s="102"/>
      <c r="BW18" s="102">
        <v>1.0</v>
      </c>
      <c r="BX18" s="102">
        <v>1.0</v>
      </c>
      <c r="BY18" s="102">
        <v>1.0</v>
      </c>
      <c r="BZ18" s="102"/>
      <c r="CA18" s="102"/>
      <c r="CB18" s="102"/>
      <c r="CC18" s="102"/>
      <c r="CD18" s="102">
        <v>2.0</v>
      </c>
      <c r="CE18" s="102">
        <v>2.0</v>
      </c>
      <c r="CF18" s="102">
        <v>2.0</v>
      </c>
      <c r="CG18" s="110"/>
      <c r="CH18" s="102"/>
      <c r="CI18" s="102"/>
      <c r="CJ18" s="102"/>
      <c r="CK18" s="102" t="s">
        <v>12</v>
      </c>
      <c r="CL18" s="102" t="s">
        <v>12</v>
      </c>
      <c r="CM18" s="102" t="s">
        <v>12</v>
      </c>
      <c r="CN18" s="102"/>
      <c r="CO18" s="111"/>
      <c r="CP18" s="111"/>
      <c r="CQ18" s="102"/>
      <c r="CR18" s="156">
        <v>3.0</v>
      </c>
      <c r="CS18" s="113">
        <v>3.0</v>
      </c>
      <c r="CT18" s="106"/>
      <c r="CU18" s="104">
        <f>COUNTIF(BL18:CT18,"D")/3</f>
        <v>2</v>
      </c>
      <c r="CV18" s="104">
        <f>COUNTIF(BL18:CT18,"D")/3</f>
        <v>2</v>
      </c>
      <c r="CW18" s="105"/>
      <c r="CX18" s="110"/>
      <c r="CY18" s="110"/>
      <c r="CZ18" s="110"/>
      <c r="DA18" s="102">
        <v>2.0</v>
      </c>
      <c r="DB18" s="156">
        <v>2.0</v>
      </c>
      <c r="DC18" s="102">
        <v>2.0</v>
      </c>
      <c r="DD18" s="102"/>
      <c r="DE18" s="102"/>
      <c r="DF18" s="102"/>
      <c r="DG18" s="102"/>
      <c r="DH18" s="102" t="s">
        <v>12</v>
      </c>
      <c r="DI18" s="102" t="s">
        <v>12</v>
      </c>
      <c r="DJ18" s="102" t="s">
        <v>12</v>
      </c>
      <c r="DK18" s="102"/>
      <c r="DL18" s="102"/>
      <c r="DM18" s="102"/>
      <c r="DN18" s="156"/>
      <c r="DO18" s="102" t="s">
        <v>12</v>
      </c>
      <c r="DP18" s="102" t="s">
        <v>12</v>
      </c>
      <c r="DQ18" s="102" t="s">
        <v>12</v>
      </c>
      <c r="DR18" s="102"/>
      <c r="DS18" s="102"/>
      <c r="DT18" s="102"/>
      <c r="DU18" s="102"/>
      <c r="DV18" s="102">
        <v>3.0</v>
      </c>
      <c r="DW18" s="102">
        <v>3.0</v>
      </c>
      <c r="DX18" s="102"/>
      <c r="DY18" s="104">
        <f>COUNTIF(CW18:DX18,"D")/3</f>
        <v>2</v>
      </c>
      <c r="DZ18" s="104">
        <f>COUNTIF(CW18:DX18,"D")/3</f>
        <v>2</v>
      </c>
      <c r="EA18" s="156"/>
      <c r="EB18" s="106"/>
      <c r="EC18" s="153"/>
      <c r="ED18" s="111"/>
      <c r="EE18" s="156">
        <v>1.0</v>
      </c>
      <c r="EF18" s="156">
        <v>1.0</v>
      </c>
      <c r="EG18" s="102">
        <v>1.0</v>
      </c>
      <c r="EH18" s="156"/>
      <c r="EI18" s="102"/>
      <c r="EJ18" s="102"/>
      <c r="EK18" s="102"/>
      <c r="EL18" s="102" t="s">
        <v>12</v>
      </c>
      <c r="EM18" s="102" t="s">
        <v>12</v>
      </c>
      <c r="EN18" s="102" t="s">
        <v>12</v>
      </c>
      <c r="EO18" s="102"/>
      <c r="EP18" s="102"/>
      <c r="EQ18" s="102"/>
      <c r="ER18" s="102"/>
      <c r="ES18" s="102" t="s">
        <v>12</v>
      </c>
      <c r="ET18" s="156" t="s">
        <v>12</v>
      </c>
      <c r="EU18" s="102" t="s">
        <v>12</v>
      </c>
      <c r="EV18" s="102"/>
      <c r="EW18" s="102"/>
      <c r="EX18" s="111"/>
      <c r="EY18" s="111"/>
      <c r="EZ18" s="102">
        <v>3.0</v>
      </c>
      <c r="FA18" s="102">
        <v>3.0</v>
      </c>
      <c r="FB18" s="102">
        <v>3.0</v>
      </c>
      <c r="FC18" s="104">
        <f>COUNTIF(EA18:FB18,"D")/3</f>
        <v>2</v>
      </c>
      <c r="FD18" s="104">
        <f>COUNTIF(EA18:FB18,"D")/3</f>
        <v>2</v>
      </c>
      <c r="FE18" s="102"/>
      <c r="FF18" s="102"/>
      <c r="FG18" s="156"/>
      <c r="FH18" s="113"/>
      <c r="FI18" s="106">
        <v>1.0</v>
      </c>
      <c r="FJ18" s="105">
        <v>1.0</v>
      </c>
      <c r="FK18" s="102">
        <v>1.0</v>
      </c>
      <c r="FL18" s="102"/>
      <c r="FM18" s="102"/>
      <c r="FN18" s="102"/>
      <c r="FO18" s="102"/>
      <c r="FP18" s="102" t="s">
        <v>12</v>
      </c>
      <c r="FQ18" s="102" t="s">
        <v>12</v>
      </c>
      <c r="FR18" s="102" t="s">
        <v>12</v>
      </c>
      <c r="FS18" s="102"/>
      <c r="FT18" s="112"/>
      <c r="FU18" s="102"/>
      <c r="FV18" s="102"/>
      <c r="FW18" s="102" t="s">
        <v>12</v>
      </c>
      <c r="FX18" s="102" t="s">
        <v>12</v>
      </c>
      <c r="FY18" s="102" t="s">
        <v>12</v>
      </c>
      <c r="FZ18" s="102"/>
      <c r="GA18" s="102"/>
      <c r="GB18" s="102"/>
      <c r="GC18" s="102"/>
      <c r="GD18" s="102" t="s">
        <v>12</v>
      </c>
      <c r="GE18" s="102" t="s">
        <v>12</v>
      </c>
      <c r="GF18" s="102" t="s">
        <v>12</v>
      </c>
      <c r="GG18" s="102"/>
      <c r="GH18" s="102"/>
      <c r="GI18" s="102"/>
      <c r="GJ18" s="111"/>
      <c r="GK18" s="102" t="s">
        <v>12</v>
      </c>
      <c r="GL18" s="102" t="s">
        <v>12</v>
      </c>
      <c r="GM18" s="113" t="s">
        <v>12</v>
      </c>
      <c r="GN18" s="104">
        <f>COUNTIF(FE18:GM18,"D")/3</f>
        <v>4</v>
      </c>
      <c r="GO18" s="104">
        <f>COUNTIF(FE18:GM18,"D")/3</f>
        <v>4</v>
      </c>
      <c r="GP18" s="105"/>
      <c r="GQ18" s="102"/>
      <c r="GR18" s="102"/>
      <c r="GS18" s="102"/>
      <c r="GT18" s="102" t="s">
        <v>12</v>
      </c>
      <c r="GU18" s="102" t="s">
        <v>12</v>
      </c>
      <c r="GV18" s="102" t="s">
        <v>12</v>
      </c>
      <c r="GW18" s="102"/>
      <c r="GX18" s="102"/>
      <c r="GY18" s="102"/>
      <c r="GZ18" s="102"/>
      <c r="HA18" s="102">
        <v>2.0</v>
      </c>
      <c r="HB18" s="102">
        <v>2.0</v>
      </c>
      <c r="HC18" s="102">
        <v>2.0</v>
      </c>
      <c r="HD18" s="102"/>
      <c r="HE18" s="102"/>
      <c r="HF18" s="102"/>
      <c r="HG18" s="102"/>
      <c r="HH18" s="102" t="s">
        <v>12</v>
      </c>
      <c r="HI18" s="102" t="s">
        <v>12</v>
      </c>
      <c r="HJ18" s="102" t="s">
        <v>12</v>
      </c>
      <c r="HK18" s="102"/>
      <c r="HL18" s="102"/>
      <c r="HM18" s="102"/>
      <c r="HN18" s="102"/>
      <c r="HO18" s="102">
        <v>3.0</v>
      </c>
      <c r="HP18" s="102">
        <v>3.0</v>
      </c>
      <c r="HQ18" s="102">
        <v>3.0</v>
      </c>
      <c r="HR18" s="104">
        <f>COUNTIF(GP18:HQ18,"D")/3</f>
        <v>2</v>
      </c>
      <c r="HS18" s="104">
        <f>COUNTIF(GP18:HQ18,"D")/3</f>
        <v>2</v>
      </c>
      <c r="HT18" s="102"/>
      <c r="HU18" s="113"/>
      <c r="HV18" s="106"/>
      <c r="HW18" s="105"/>
      <c r="HX18" s="102" t="s">
        <v>12</v>
      </c>
      <c r="HY18" s="102" t="s">
        <v>12</v>
      </c>
      <c r="HZ18" s="102" t="s">
        <v>12</v>
      </c>
      <c r="IA18" s="102"/>
      <c r="IB18" s="102"/>
      <c r="IC18" s="102"/>
      <c r="ID18" s="102"/>
      <c r="IE18" s="102">
        <v>3.0</v>
      </c>
      <c r="IF18" s="102">
        <v>3.0</v>
      </c>
      <c r="IG18" s="102">
        <v>3.0</v>
      </c>
      <c r="IH18" s="102"/>
      <c r="II18" s="102"/>
      <c r="IJ18" s="102"/>
      <c r="IK18" s="102"/>
      <c r="IL18" s="102">
        <v>1.0</v>
      </c>
      <c r="IM18" s="102">
        <v>1.0</v>
      </c>
      <c r="IN18" s="102"/>
      <c r="IO18" s="102"/>
      <c r="IP18" s="102"/>
      <c r="IQ18" s="102"/>
      <c r="IR18" s="102"/>
      <c r="IS18" s="102" t="s">
        <v>12</v>
      </c>
      <c r="IT18" s="102" t="s">
        <v>12</v>
      </c>
      <c r="IU18" s="102" t="s">
        <v>12</v>
      </c>
      <c r="IV18" s="104">
        <f>COUNTIF(HT18:IU18,"D")/3</f>
        <v>2</v>
      </c>
      <c r="IW18" s="104">
        <f>COUNTIF(HT18:IU18,"D")/3</f>
        <v>2</v>
      </c>
      <c r="IX18" s="102"/>
      <c r="IY18" s="102"/>
      <c r="IZ18" s="102"/>
      <c r="JA18" s="102"/>
      <c r="JB18" s="113" t="s">
        <v>76</v>
      </c>
      <c r="JC18" s="10"/>
      <c r="JD18" s="11"/>
      <c r="JE18" s="102"/>
      <c r="JF18" s="102"/>
      <c r="JG18" s="102"/>
      <c r="JH18" s="102"/>
      <c r="JI18" s="102" t="s">
        <v>12</v>
      </c>
      <c r="JJ18" s="102" t="s">
        <v>12</v>
      </c>
      <c r="JK18" s="102" t="s">
        <v>12</v>
      </c>
      <c r="JL18" s="102"/>
      <c r="JM18" s="102"/>
      <c r="JN18" s="102"/>
      <c r="JO18" s="102"/>
      <c r="JP18" s="102" t="s">
        <v>12</v>
      </c>
      <c r="JQ18" s="102" t="s">
        <v>12</v>
      </c>
      <c r="JR18" s="102" t="s">
        <v>12</v>
      </c>
      <c r="JS18" s="102"/>
      <c r="JT18" s="102"/>
      <c r="JU18" s="102"/>
      <c r="JV18" s="102"/>
      <c r="JW18" s="102">
        <v>1.0</v>
      </c>
      <c r="JX18" s="102">
        <v>1.0</v>
      </c>
      <c r="JY18" s="102">
        <v>1.0</v>
      </c>
      <c r="JZ18" s="102"/>
      <c r="KA18" s="102"/>
      <c r="KB18" s="102"/>
      <c r="KC18" s="102"/>
      <c r="KD18" s="102" t="s">
        <v>12</v>
      </c>
      <c r="KE18" s="102" t="s">
        <v>12</v>
      </c>
      <c r="KF18" s="102" t="s">
        <v>12</v>
      </c>
      <c r="KG18" s="104">
        <f>COUNTIF(IX18:KF18,"D")/3</f>
        <v>3</v>
      </c>
      <c r="KH18" s="104">
        <f>COUNTIF(IX18:KF18,"D")/3</f>
        <v>3</v>
      </c>
      <c r="KI18" s="113"/>
      <c r="KJ18" s="105"/>
      <c r="KK18" s="102"/>
      <c r="KL18" s="102"/>
      <c r="KM18" s="102">
        <v>3.0</v>
      </c>
      <c r="KN18" s="102">
        <v>3.0</v>
      </c>
      <c r="KO18" s="102">
        <v>3.0</v>
      </c>
      <c r="KP18" s="102"/>
      <c r="KQ18" s="102"/>
      <c r="KR18" s="102"/>
      <c r="KS18" s="102"/>
      <c r="KT18" s="102">
        <v>2.0</v>
      </c>
      <c r="KU18" s="102">
        <v>2.0</v>
      </c>
      <c r="KV18" s="102">
        <v>2.0</v>
      </c>
      <c r="KW18" s="102"/>
      <c r="KX18" s="102"/>
      <c r="KY18" s="102"/>
      <c r="KZ18" s="102"/>
      <c r="LA18" s="102" t="s">
        <v>12</v>
      </c>
      <c r="LB18" s="102" t="s">
        <v>12</v>
      </c>
      <c r="LC18" s="102" t="s">
        <v>12</v>
      </c>
      <c r="LD18" s="102"/>
      <c r="LE18" s="102"/>
      <c r="LF18" s="102"/>
      <c r="LG18" s="102"/>
      <c r="LH18" s="102" t="s">
        <v>12</v>
      </c>
      <c r="LI18" s="102" t="s">
        <v>12</v>
      </c>
      <c r="LJ18" s="102" t="s">
        <v>12</v>
      </c>
      <c r="LK18" s="104">
        <f>COUNTIF(KI18:LJ18,"D")/3</f>
        <v>2</v>
      </c>
      <c r="LL18" s="104">
        <f>COUNTIF(KI18:LJ18,"D")/3</f>
        <v>2</v>
      </c>
      <c r="LM18" s="102"/>
      <c r="LN18" s="102"/>
      <c r="LO18" s="113"/>
      <c r="LP18" s="106"/>
      <c r="LQ18" s="102" t="s">
        <v>12</v>
      </c>
      <c r="LR18" s="102" t="s">
        <v>12</v>
      </c>
      <c r="LS18" s="102" t="s">
        <v>12</v>
      </c>
      <c r="LT18" s="102"/>
      <c r="LU18" s="102"/>
      <c r="LV18" s="102"/>
      <c r="LW18" s="102"/>
      <c r="LX18" s="102">
        <v>3.0</v>
      </c>
      <c r="LY18" s="102">
        <v>3.0</v>
      </c>
      <c r="LZ18" s="102">
        <v>3.0</v>
      </c>
      <c r="MA18" s="102"/>
      <c r="MB18" s="102"/>
      <c r="MC18" s="102"/>
      <c r="MD18" s="102"/>
      <c r="ME18" s="102" t="s">
        <v>12</v>
      </c>
      <c r="MF18" s="102" t="s">
        <v>12</v>
      </c>
      <c r="MG18" s="102" t="s">
        <v>12</v>
      </c>
      <c r="MH18" s="102"/>
      <c r="MI18" s="102"/>
      <c r="MJ18" s="102"/>
      <c r="MK18" s="102"/>
      <c r="ML18" s="102">
        <v>1.0</v>
      </c>
      <c r="MM18" s="102">
        <v>1.0</v>
      </c>
      <c r="MN18" s="102">
        <v>1.0</v>
      </c>
      <c r="MO18" s="104">
        <f>COUNTIF(LM18:MN18,"D")/3</f>
        <v>2</v>
      </c>
      <c r="MP18" s="104">
        <f>COUNTIF(LM18:MN18,"D")/3</f>
        <v>2</v>
      </c>
      <c r="MQ18" s="102"/>
      <c r="MR18" s="102"/>
      <c r="MS18" s="102"/>
      <c r="MT18" s="102"/>
      <c r="MU18" s="102" t="s">
        <v>12</v>
      </c>
      <c r="MV18" s="113" t="s">
        <v>12</v>
      </c>
      <c r="MW18" s="105" t="s">
        <v>12</v>
      </c>
      <c r="MX18" s="102"/>
      <c r="MY18" s="102"/>
      <c r="MZ18" s="102"/>
      <c r="NA18" s="102"/>
      <c r="NB18" s="102" t="s">
        <v>12</v>
      </c>
      <c r="NC18" s="102" t="s">
        <v>12</v>
      </c>
      <c r="ND18" s="102" t="s">
        <v>12</v>
      </c>
      <c r="NE18" s="102"/>
      <c r="NF18" s="102"/>
      <c r="NG18" s="102"/>
      <c r="NH18" s="102"/>
      <c r="NI18" s="102" t="s">
        <v>12</v>
      </c>
      <c r="NJ18" s="102" t="s">
        <v>12</v>
      </c>
      <c r="NK18" s="102" t="s">
        <v>12</v>
      </c>
      <c r="NL18" s="102"/>
      <c r="NM18" s="102"/>
      <c r="NN18" s="102"/>
      <c r="NO18" s="102"/>
      <c r="NP18" s="102"/>
      <c r="NQ18" s="102"/>
      <c r="NR18" s="102"/>
      <c r="NS18" s="102"/>
      <c r="NT18" s="102"/>
      <c r="NU18" s="102"/>
      <c r="NV18" s="102"/>
      <c r="NW18" s="102"/>
      <c r="NX18" s="102"/>
      <c r="NY18" s="102"/>
      <c r="NZ18" s="104">
        <f>COUNTIF(MQ18:NY18,"D")/3</f>
        <v>3</v>
      </c>
      <c r="OA18" s="104">
        <f>COUNTIF(MQ18:NY18,"D")/3</f>
        <v>3</v>
      </c>
      <c r="OB18" s="113"/>
      <c r="OC18" s="106"/>
      <c r="OD18" s="104">
        <f t="shared" ref="OD18:OE18" si="7">SUM(AF18,BJ18,CU18,DY18,FC18,GN18,HR18,IV18,KG18,LK18,MO18,NZ18)</f>
        <v>28</v>
      </c>
      <c r="OE18" s="104">
        <f t="shared" si="7"/>
        <v>28</v>
      </c>
    </row>
    <row r="19" ht="26.25" customHeight="1">
      <c r="A19" s="73"/>
      <c r="B19" s="74"/>
      <c r="C19" s="114"/>
      <c r="D19" s="143"/>
      <c r="E19" s="136"/>
      <c r="F19" s="116"/>
      <c r="G19" s="116"/>
      <c r="H19" s="136"/>
      <c r="I19" s="136"/>
      <c r="J19" s="136"/>
      <c r="K19" s="136"/>
      <c r="L19" s="136"/>
      <c r="M19" s="136"/>
      <c r="N19" s="136"/>
      <c r="O19" s="136"/>
      <c r="P19" s="136"/>
      <c r="Q19" s="137"/>
      <c r="R19" s="136"/>
      <c r="S19" s="136"/>
      <c r="T19" s="136"/>
      <c r="U19" s="116"/>
      <c r="V19" s="116"/>
      <c r="W19" s="116"/>
      <c r="X19" s="116"/>
      <c r="Y19" s="116"/>
      <c r="Z19" s="116"/>
      <c r="AA19" s="136"/>
      <c r="AB19" s="136"/>
      <c r="AC19" s="136"/>
      <c r="AD19" s="136"/>
      <c r="AE19" s="136"/>
      <c r="AF19" s="138"/>
      <c r="AG19" s="138"/>
      <c r="AH19" s="115"/>
      <c r="AI19" s="140"/>
      <c r="AJ19" s="141"/>
      <c r="AK19" s="142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7"/>
      <c r="AY19" s="116"/>
      <c r="AZ19" s="136"/>
      <c r="BA19" s="136"/>
      <c r="BB19" s="136"/>
      <c r="BC19" s="136"/>
      <c r="BD19" s="116"/>
      <c r="BE19" s="136"/>
      <c r="BF19" s="116"/>
      <c r="BG19" s="136"/>
      <c r="BH19" s="116"/>
      <c r="BI19" s="136"/>
      <c r="BJ19" s="138"/>
      <c r="BK19" s="138"/>
      <c r="BL19" s="136"/>
      <c r="BM19" s="136"/>
      <c r="BN19" s="116"/>
      <c r="BO19" s="116"/>
      <c r="BP19" s="143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7"/>
      <c r="CD19" s="136"/>
      <c r="CE19" s="116"/>
      <c r="CF19" s="116"/>
      <c r="CG19" s="136"/>
      <c r="CH19" s="136"/>
      <c r="CI19" s="136"/>
      <c r="CJ19" s="136"/>
      <c r="CK19" s="136"/>
      <c r="CL19" s="136"/>
      <c r="CM19" s="136"/>
      <c r="CN19" s="136"/>
      <c r="CO19" s="116"/>
      <c r="CP19" s="116"/>
      <c r="CQ19" s="136"/>
      <c r="CR19" s="136"/>
      <c r="CS19" s="140"/>
      <c r="CT19" s="141"/>
      <c r="CU19" s="138"/>
      <c r="CV19" s="138"/>
      <c r="CW19" s="143"/>
      <c r="CX19" s="136"/>
      <c r="CY19" s="165"/>
      <c r="CZ19" s="136"/>
      <c r="DA19" s="136"/>
      <c r="DB19" s="136"/>
      <c r="DC19" s="136"/>
      <c r="DD19" s="136"/>
      <c r="DE19" s="136"/>
      <c r="DF19" s="136"/>
      <c r="DG19" s="136"/>
      <c r="DH19" s="116"/>
      <c r="DI19" s="136"/>
      <c r="DJ19" s="137"/>
      <c r="DK19" s="136"/>
      <c r="DL19" s="136"/>
      <c r="DM19" s="136"/>
      <c r="DN19" s="160"/>
      <c r="DO19" s="160"/>
      <c r="DP19" s="136"/>
      <c r="DQ19" s="136"/>
      <c r="DR19" s="136"/>
      <c r="DS19" s="136"/>
      <c r="DT19" s="136"/>
      <c r="DU19" s="136"/>
      <c r="DV19" s="136"/>
      <c r="DW19" s="136"/>
      <c r="DX19" s="136"/>
      <c r="DY19" s="138"/>
      <c r="DZ19" s="138"/>
      <c r="EA19" s="136"/>
      <c r="EB19" s="141"/>
      <c r="EC19" s="115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50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38"/>
      <c r="FD19" s="138"/>
      <c r="FE19" s="116"/>
      <c r="FF19" s="116"/>
      <c r="FG19" s="116"/>
      <c r="FH19" s="120"/>
      <c r="FI19" s="118"/>
      <c r="FJ19" s="143"/>
      <c r="FK19" s="136"/>
      <c r="FL19" s="136"/>
      <c r="FM19" s="136"/>
      <c r="FN19" s="136"/>
      <c r="FO19" s="136"/>
      <c r="FP19" s="136"/>
      <c r="FQ19" s="136"/>
      <c r="FR19" s="136"/>
      <c r="FS19" s="136"/>
      <c r="FT19" s="136"/>
      <c r="FU19" s="136"/>
      <c r="FV19" s="136"/>
      <c r="FW19" s="137"/>
      <c r="FX19" s="136"/>
      <c r="FY19" s="136"/>
      <c r="FZ19" s="136"/>
      <c r="GA19" s="136"/>
      <c r="GB19" s="136"/>
      <c r="GC19" s="136"/>
      <c r="GD19" s="136"/>
      <c r="GE19" s="136"/>
      <c r="GF19" s="136"/>
      <c r="GG19" s="136"/>
      <c r="GH19" s="136"/>
      <c r="GI19" s="136"/>
      <c r="GJ19" s="136"/>
      <c r="GK19" s="136"/>
      <c r="GL19" s="136"/>
      <c r="GM19" s="140"/>
      <c r="GN19" s="138"/>
      <c r="GO19" s="138"/>
      <c r="GP19" s="143"/>
      <c r="GQ19" s="136"/>
      <c r="GR19" s="136"/>
      <c r="GS19" s="136"/>
      <c r="GT19" s="136"/>
      <c r="GU19" s="136"/>
      <c r="GV19" s="136"/>
      <c r="GW19" s="136"/>
      <c r="GX19" s="136"/>
      <c r="GY19" s="136"/>
      <c r="GZ19" s="136"/>
      <c r="HA19" s="136"/>
      <c r="HB19" s="136"/>
      <c r="HC19" s="137"/>
      <c r="HD19" s="136"/>
      <c r="HE19" s="136"/>
      <c r="HF19" s="136"/>
      <c r="HG19" s="136"/>
      <c r="HH19" s="136"/>
      <c r="HI19" s="136"/>
      <c r="HJ19" s="136"/>
      <c r="HK19" s="136"/>
      <c r="HL19" s="136"/>
      <c r="HM19" s="136"/>
      <c r="HN19" s="136"/>
      <c r="HO19" s="136"/>
      <c r="HP19" s="136"/>
      <c r="HQ19" s="136"/>
      <c r="HR19" s="138"/>
      <c r="HS19" s="138"/>
      <c r="HT19" s="136"/>
      <c r="HU19" s="140"/>
      <c r="HV19" s="141"/>
      <c r="HW19" s="143"/>
      <c r="HX19" s="136"/>
      <c r="HY19" s="136"/>
      <c r="HZ19" s="136">
        <v>1.0</v>
      </c>
      <c r="IA19" s="136"/>
      <c r="IB19" s="136"/>
      <c r="IC19" s="136"/>
      <c r="ID19" s="136"/>
      <c r="IE19" s="136"/>
      <c r="IF19" s="136"/>
      <c r="IG19" s="136"/>
      <c r="IH19" s="136"/>
      <c r="II19" s="136"/>
      <c r="IJ19" s="137"/>
      <c r="IK19" s="136"/>
      <c r="IL19" s="136"/>
      <c r="IM19" s="136"/>
      <c r="IN19" s="136"/>
      <c r="IO19" s="136"/>
      <c r="IP19" s="136"/>
      <c r="IQ19" s="136"/>
      <c r="IR19" s="136"/>
      <c r="IS19" s="136"/>
      <c r="IT19" s="136"/>
      <c r="IU19" s="136"/>
      <c r="IV19" s="138"/>
      <c r="IW19" s="138"/>
      <c r="IX19" s="136"/>
      <c r="IY19" s="136"/>
      <c r="IZ19" s="136"/>
      <c r="JA19" s="136"/>
      <c r="JB19" s="140"/>
      <c r="JC19" s="141"/>
      <c r="JD19" s="143"/>
      <c r="JE19" s="136"/>
      <c r="JF19" s="136"/>
      <c r="JG19" s="136"/>
      <c r="JH19" s="136"/>
      <c r="JI19" s="136"/>
      <c r="JJ19" s="136"/>
      <c r="JK19" s="136"/>
      <c r="JL19" s="136"/>
      <c r="JM19" s="136"/>
      <c r="JN19" s="136"/>
      <c r="JO19" s="136"/>
      <c r="JP19" s="136"/>
      <c r="JQ19" s="137"/>
      <c r="JR19" s="136"/>
      <c r="JS19" s="136"/>
      <c r="JT19" s="136"/>
      <c r="JU19" s="136"/>
      <c r="JV19" s="136"/>
      <c r="JW19" s="136"/>
      <c r="JX19" s="136"/>
      <c r="JY19" s="136"/>
      <c r="JZ19" s="136"/>
      <c r="KA19" s="136"/>
      <c r="KB19" s="136"/>
      <c r="KC19" s="136"/>
      <c r="KD19" s="136"/>
      <c r="KE19" s="136"/>
      <c r="KF19" s="136"/>
      <c r="KG19" s="138"/>
      <c r="KH19" s="138"/>
      <c r="KI19" s="140"/>
      <c r="KJ19" s="143"/>
      <c r="KK19" s="136"/>
      <c r="KL19" s="136"/>
      <c r="KM19" s="136"/>
      <c r="KN19" s="136"/>
      <c r="KO19" s="136"/>
      <c r="KP19" s="136"/>
      <c r="KQ19" s="136"/>
      <c r="KR19" s="136"/>
      <c r="KS19" s="136"/>
      <c r="KT19" s="136"/>
      <c r="KU19" s="136"/>
      <c r="KV19" s="136"/>
      <c r="KW19" s="137"/>
      <c r="KX19" s="136"/>
      <c r="KY19" s="136"/>
      <c r="KZ19" s="136"/>
      <c r="LA19" s="136"/>
      <c r="LB19" s="136"/>
      <c r="LC19" s="136"/>
      <c r="LD19" s="136"/>
      <c r="LE19" s="136"/>
      <c r="LF19" s="136"/>
      <c r="LG19" s="136"/>
      <c r="LH19" s="136"/>
      <c r="LI19" s="136"/>
      <c r="LJ19" s="136"/>
      <c r="LK19" s="138"/>
      <c r="LL19" s="138"/>
      <c r="LM19" s="136"/>
      <c r="LN19" s="136"/>
      <c r="LO19" s="140"/>
      <c r="LP19" s="141"/>
      <c r="LQ19" s="136"/>
      <c r="LR19" s="136"/>
      <c r="LS19" s="136"/>
      <c r="LT19" s="136"/>
      <c r="LU19" s="136"/>
      <c r="LV19" s="136"/>
      <c r="LW19" s="136"/>
      <c r="LX19" s="136"/>
      <c r="LY19" s="136"/>
      <c r="LZ19" s="136"/>
      <c r="MA19" s="136"/>
      <c r="MB19" s="136"/>
      <c r="MC19" s="136"/>
      <c r="MD19" s="137"/>
      <c r="ME19" s="136"/>
      <c r="MF19" s="136"/>
      <c r="MG19" s="136"/>
      <c r="MH19" s="136"/>
      <c r="MI19" s="136"/>
      <c r="MJ19" s="136"/>
      <c r="MK19" s="136"/>
      <c r="ML19" s="136"/>
      <c r="MM19" s="136"/>
      <c r="MN19" s="136"/>
      <c r="MO19" s="138"/>
      <c r="MP19" s="138"/>
      <c r="MQ19" s="136"/>
      <c r="MR19" s="136"/>
      <c r="MS19" s="136"/>
      <c r="MT19" s="136"/>
      <c r="MU19" s="136"/>
      <c r="MV19" s="140"/>
      <c r="MW19" s="143"/>
      <c r="MX19" s="136"/>
      <c r="MY19" s="136"/>
      <c r="MZ19" s="136"/>
      <c r="NA19" s="136"/>
      <c r="NB19" s="136"/>
      <c r="NC19" s="136"/>
      <c r="ND19" s="136"/>
      <c r="NE19" s="136"/>
      <c r="NF19" s="136"/>
      <c r="NG19" s="136"/>
      <c r="NH19" s="136"/>
      <c r="NI19" s="136"/>
      <c r="NJ19" s="137"/>
      <c r="NK19" s="136"/>
      <c r="NL19" s="136"/>
      <c r="NM19" s="136"/>
      <c r="NN19" s="136"/>
      <c r="NO19" s="136"/>
      <c r="NP19" s="136"/>
      <c r="NQ19" s="136"/>
      <c r="NR19" s="136"/>
      <c r="NS19" s="136"/>
      <c r="NT19" s="136"/>
      <c r="NU19" s="136"/>
      <c r="NV19" s="136"/>
      <c r="NW19" s="136"/>
      <c r="NX19" s="136"/>
      <c r="NY19" s="136"/>
      <c r="NZ19" s="138"/>
      <c r="OA19" s="138"/>
      <c r="OB19" s="140"/>
      <c r="OC19" s="141"/>
      <c r="OD19" s="138"/>
      <c r="OE19" s="138"/>
    </row>
    <row r="20" ht="26.25" customHeight="1">
      <c r="A20" s="98" t="s">
        <v>77</v>
      </c>
      <c r="B20" s="99" t="s">
        <v>72</v>
      </c>
      <c r="C20" s="100" t="s">
        <v>26</v>
      </c>
      <c r="D20" s="102"/>
      <c r="E20" s="102"/>
      <c r="F20" s="102"/>
      <c r="G20" s="102"/>
      <c r="H20" s="102">
        <v>3.0</v>
      </c>
      <c r="I20" s="102">
        <v>3.0</v>
      </c>
      <c r="J20" s="102"/>
      <c r="K20" s="102"/>
      <c r="L20" s="102"/>
      <c r="M20" s="102"/>
      <c r="N20" s="102"/>
      <c r="O20" s="102">
        <v>2.0</v>
      </c>
      <c r="P20" s="102">
        <v>2.0</v>
      </c>
      <c r="Q20" s="102">
        <v>2.0</v>
      </c>
      <c r="R20" s="102"/>
      <c r="S20" s="102"/>
      <c r="T20" s="102"/>
      <c r="U20" s="111"/>
      <c r="V20" s="102" t="s">
        <v>12</v>
      </c>
      <c r="W20" s="102" t="s">
        <v>12</v>
      </c>
      <c r="X20" s="102" t="s">
        <v>12</v>
      </c>
      <c r="Y20" s="111"/>
      <c r="Z20" s="102"/>
      <c r="AA20" s="102"/>
      <c r="AB20" s="102"/>
      <c r="AC20" s="102" t="s">
        <v>12</v>
      </c>
      <c r="AD20" s="102" t="s">
        <v>12</v>
      </c>
      <c r="AE20" s="102" t="s">
        <v>12</v>
      </c>
      <c r="AF20" s="104">
        <f>COUNTIF(D20:AE20,"D")/3</f>
        <v>2</v>
      </c>
      <c r="AG20" s="104">
        <f>COUNTIF(D20:AE20,"D")/3</f>
        <v>2</v>
      </c>
      <c r="AH20" s="105"/>
      <c r="AI20" s="113"/>
      <c r="AJ20" s="106"/>
      <c r="AK20" s="107"/>
      <c r="AL20" s="102" t="s">
        <v>12</v>
      </c>
      <c r="AM20" s="102">
        <v>3.0</v>
      </c>
      <c r="AN20" s="102">
        <v>3.0</v>
      </c>
      <c r="AO20" s="102"/>
      <c r="AP20" s="102"/>
      <c r="AQ20" s="102"/>
      <c r="AR20" s="102"/>
      <c r="AS20" s="102">
        <v>2.0</v>
      </c>
      <c r="AT20" s="102">
        <v>2.0</v>
      </c>
      <c r="AU20" s="102">
        <v>2.0</v>
      </c>
      <c r="AV20" s="102"/>
      <c r="AW20" s="102"/>
      <c r="AX20" s="102"/>
      <c r="AY20" s="102"/>
      <c r="AZ20" s="102" t="s">
        <v>12</v>
      </c>
      <c r="BA20" s="102" t="s">
        <v>12</v>
      </c>
      <c r="BB20" s="102" t="s">
        <v>12</v>
      </c>
      <c r="BC20" s="102"/>
      <c r="BD20" s="102"/>
      <c r="BE20" s="102"/>
      <c r="BF20" s="102"/>
      <c r="BG20" s="102" t="s">
        <v>12</v>
      </c>
      <c r="BH20" s="102" t="s">
        <v>12</v>
      </c>
      <c r="BI20" s="102" t="s">
        <v>12</v>
      </c>
      <c r="BJ20" s="104">
        <f>COUNTIF(AH20:BI20,"D")/3</f>
        <v>2.333333333</v>
      </c>
      <c r="BK20" s="104">
        <f>COUNTIF(AH20:BI20,"D")/3</f>
        <v>2.333333333</v>
      </c>
      <c r="BL20" s="102"/>
      <c r="BM20" s="102"/>
      <c r="BN20" s="102"/>
      <c r="BO20" s="111"/>
      <c r="BP20" s="105">
        <v>1.0</v>
      </c>
      <c r="BQ20" s="102" t="s">
        <v>12</v>
      </c>
      <c r="BR20" s="102">
        <v>3.0</v>
      </c>
      <c r="BS20" s="102"/>
      <c r="BT20" s="102"/>
      <c r="BU20" s="102"/>
      <c r="BV20" s="110"/>
      <c r="BW20" s="102">
        <v>3.0</v>
      </c>
      <c r="BX20" s="102">
        <v>3.0</v>
      </c>
      <c r="BY20" s="102"/>
      <c r="BZ20" s="102"/>
      <c r="CA20" s="102"/>
      <c r="CB20" s="102"/>
      <c r="CC20" s="102"/>
      <c r="CD20" s="102">
        <v>1.0</v>
      </c>
      <c r="CE20" s="102">
        <v>1.0</v>
      </c>
      <c r="CF20" s="156">
        <v>1.0</v>
      </c>
      <c r="CG20" s="102"/>
      <c r="CH20" s="102"/>
      <c r="CI20" s="110"/>
      <c r="CJ20" s="110"/>
      <c r="CK20" s="102" t="s">
        <v>12</v>
      </c>
      <c r="CL20" s="102" t="s">
        <v>12</v>
      </c>
      <c r="CM20" s="102" t="s">
        <v>12</v>
      </c>
      <c r="CN20" s="102"/>
      <c r="CO20" s="102"/>
      <c r="CP20" s="102"/>
      <c r="CQ20" s="102"/>
      <c r="CR20" s="102" t="s">
        <v>12</v>
      </c>
      <c r="CS20" s="102" t="s">
        <v>12</v>
      </c>
      <c r="CT20" s="106" t="s">
        <v>12</v>
      </c>
      <c r="CU20" s="104">
        <f>COUNTIF(BL20:CT20,"D")/3</f>
        <v>2.333333333</v>
      </c>
      <c r="CV20" s="104">
        <f>COUNTIF(BL20:CT20,"D")/3</f>
        <v>2.333333333</v>
      </c>
      <c r="CW20" s="105"/>
      <c r="CX20" s="110"/>
      <c r="CY20" s="110"/>
      <c r="CZ20" s="110"/>
      <c r="DA20" s="102" t="s">
        <v>12</v>
      </c>
      <c r="DB20" s="102" t="s">
        <v>12</v>
      </c>
      <c r="DC20" s="156" t="s">
        <v>12</v>
      </c>
      <c r="DD20" s="102"/>
      <c r="DE20" s="102"/>
      <c r="DF20" s="102"/>
      <c r="DG20" s="102"/>
      <c r="DH20" s="102">
        <v>2.0</v>
      </c>
      <c r="DI20" s="102">
        <v>2.0</v>
      </c>
      <c r="DJ20" s="102">
        <v>2.0</v>
      </c>
      <c r="DK20" s="102"/>
      <c r="DL20" s="102"/>
      <c r="DM20" s="102"/>
      <c r="DN20" s="102"/>
      <c r="DO20" s="102">
        <v>3.0</v>
      </c>
      <c r="DP20" s="156">
        <v>3.0</v>
      </c>
      <c r="DQ20" s="164"/>
      <c r="DR20" s="102"/>
      <c r="DS20" s="102"/>
      <c r="DT20" s="102"/>
      <c r="DU20" s="102"/>
      <c r="DV20" s="102" t="s">
        <v>12</v>
      </c>
      <c r="DW20" s="102" t="s">
        <v>12</v>
      </c>
      <c r="DX20" s="102" t="s">
        <v>12</v>
      </c>
      <c r="DY20" s="104">
        <f>COUNTIF(CW20:DX20,"D")/3</f>
        <v>2</v>
      </c>
      <c r="DZ20" s="104">
        <f>COUNTIF(CW20:DX20,"D")/3</f>
        <v>2</v>
      </c>
      <c r="EA20" s="102"/>
      <c r="EB20" s="106"/>
      <c r="EC20" s="105"/>
      <c r="ED20" s="102"/>
      <c r="EE20" s="102">
        <v>3.0</v>
      </c>
      <c r="EF20" s="102">
        <v>3.0</v>
      </c>
      <c r="EG20" s="102"/>
      <c r="EH20" s="102"/>
      <c r="EI20" s="156"/>
      <c r="EJ20" s="102"/>
      <c r="EK20" s="102"/>
      <c r="EL20" s="102" t="s">
        <v>12</v>
      </c>
      <c r="EM20" s="102" t="s">
        <v>12</v>
      </c>
      <c r="EN20" s="102" t="s">
        <v>12</v>
      </c>
      <c r="EO20" s="102"/>
      <c r="EP20" s="102"/>
      <c r="EQ20" s="111"/>
      <c r="ER20" s="102"/>
      <c r="ES20" s="102">
        <v>2.0</v>
      </c>
      <c r="ET20" s="102">
        <v>2.0</v>
      </c>
      <c r="EU20" s="102">
        <v>2.0</v>
      </c>
      <c r="EV20" s="156"/>
      <c r="EW20" s="156"/>
      <c r="EX20" s="102"/>
      <c r="EY20" s="102"/>
      <c r="EZ20" s="102" t="s">
        <v>12</v>
      </c>
      <c r="FA20" s="102" t="s">
        <v>12</v>
      </c>
      <c r="FB20" s="102" t="s">
        <v>12</v>
      </c>
      <c r="FC20" s="104">
        <f>COUNTIF(EA20:FB20,"D")/3</f>
        <v>2</v>
      </c>
      <c r="FD20" s="104">
        <f>COUNTIF(EA20:FB20,"D")/3</f>
        <v>2</v>
      </c>
      <c r="FE20" s="102"/>
      <c r="FF20" s="102"/>
      <c r="FG20" s="156"/>
      <c r="FH20" s="113"/>
      <c r="FI20" s="106" t="s">
        <v>12</v>
      </c>
      <c r="FJ20" s="105"/>
      <c r="FK20" s="102">
        <v>1.0</v>
      </c>
      <c r="FL20" s="102"/>
      <c r="FM20" s="102"/>
      <c r="FN20" s="102"/>
      <c r="FO20" s="102"/>
      <c r="FP20" s="102">
        <v>3.0</v>
      </c>
      <c r="FQ20" s="102">
        <v>3.0</v>
      </c>
      <c r="FR20" s="102"/>
      <c r="FS20" s="102"/>
      <c r="FT20" s="102"/>
      <c r="FU20" s="102"/>
      <c r="FV20" s="102"/>
      <c r="FW20" s="102" t="s">
        <v>12</v>
      </c>
      <c r="FX20" s="102" t="s">
        <v>12</v>
      </c>
      <c r="FY20" s="102" t="s">
        <v>12</v>
      </c>
      <c r="FZ20" s="102"/>
      <c r="GA20" s="102"/>
      <c r="GB20" s="102"/>
      <c r="GC20" s="102"/>
      <c r="GD20" s="102" t="s">
        <v>12</v>
      </c>
      <c r="GE20" s="102" t="s">
        <v>12</v>
      </c>
      <c r="GF20" s="102" t="s">
        <v>12</v>
      </c>
      <c r="GG20" s="102"/>
      <c r="GH20" s="102"/>
      <c r="GI20" s="102"/>
      <c r="GJ20" s="111"/>
      <c r="GK20" s="102" t="s">
        <v>12</v>
      </c>
      <c r="GL20" s="102" t="s">
        <v>12</v>
      </c>
      <c r="GM20" s="113" t="s">
        <v>12</v>
      </c>
      <c r="GN20" s="104">
        <f>COUNTIF(FE20:GM20,"D")/3</f>
        <v>3.333333333</v>
      </c>
      <c r="GO20" s="104">
        <f>COUNTIF(FE20:GM20,"D")/3</f>
        <v>3.333333333</v>
      </c>
      <c r="GP20" s="105"/>
      <c r="GQ20" s="102"/>
      <c r="GR20" s="102"/>
      <c r="GS20" s="102"/>
      <c r="GT20" s="113" t="s">
        <v>76</v>
      </c>
      <c r="GU20" s="10"/>
      <c r="GV20" s="11"/>
      <c r="GW20" s="107"/>
      <c r="GX20" s="102"/>
      <c r="GY20" s="102"/>
      <c r="GZ20" s="102"/>
      <c r="HA20" s="102" t="s">
        <v>12</v>
      </c>
      <c r="HB20" s="102" t="s">
        <v>12</v>
      </c>
      <c r="HC20" s="102" t="s">
        <v>12</v>
      </c>
      <c r="HD20" s="102"/>
      <c r="HE20" s="102"/>
      <c r="HF20" s="102"/>
      <c r="HG20" s="102"/>
      <c r="HH20" s="102">
        <v>1.0</v>
      </c>
      <c r="HI20" s="102">
        <v>1.0</v>
      </c>
      <c r="HJ20" s="102">
        <v>1.0</v>
      </c>
      <c r="HK20" s="102"/>
      <c r="HL20" s="102"/>
      <c r="HM20" s="102"/>
      <c r="HN20" s="102"/>
      <c r="HO20" s="102" t="s">
        <v>12</v>
      </c>
      <c r="HP20" s="102" t="s">
        <v>12</v>
      </c>
      <c r="HQ20" s="102" t="s">
        <v>12</v>
      </c>
      <c r="HR20" s="104">
        <f>COUNTIF(GP20:HQ20,"D")/3</f>
        <v>2</v>
      </c>
      <c r="HS20" s="104">
        <f>COUNTIF(GP20:HQ20,"D")/3</f>
        <v>2</v>
      </c>
      <c r="HT20" s="102"/>
      <c r="HU20" s="113"/>
      <c r="HV20" s="106"/>
      <c r="HW20" s="105"/>
      <c r="HX20" s="102">
        <v>3.0</v>
      </c>
      <c r="HY20" s="102">
        <v>3.0</v>
      </c>
      <c r="HZ20" s="102">
        <v>3.0</v>
      </c>
      <c r="IA20" s="102"/>
      <c r="IB20" s="102"/>
      <c r="IC20" s="102"/>
      <c r="ID20" s="102"/>
      <c r="IE20" s="102" t="s">
        <v>12</v>
      </c>
      <c r="IF20" s="102" t="s">
        <v>12</v>
      </c>
      <c r="IG20" s="102" t="s">
        <v>12</v>
      </c>
      <c r="IH20" s="102"/>
      <c r="II20" s="102"/>
      <c r="IJ20" s="102"/>
      <c r="IK20" s="102"/>
      <c r="IL20" s="102" t="s">
        <v>12</v>
      </c>
      <c r="IM20" s="102" t="s">
        <v>12</v>
      </c>
      <c r="IN20" s="102" t="s">
        <v>12</v>
      </c>
      <c r="IO20" s="102"/>
      <c r="IP20" s="102"/>
      <c r="IQ20" s="102"/>
      <c r="IR20" s="102"/>
      <c r="IS20" s="102">
        <v>1.0</v>
      </c>
      <c r="IT20" s="102">
        <v>1.0</v>
      </c>
      <c r="IU20" s="102">
        <v>1.0</v>
      </c>
      <c r="IV20" s="104">
        <f>COUNTIF(HT20:IU20,"D")/3</f>
        <v>2</v>
      </c>
      <c r="IW20" s="104">
        <f>COUNTIF(HT20:IU20,"D")/3</f>
        <v>2</v>
      </c>
      <c r="IX20" s="102"/>
      <c r="IY20" s="102"/>
      <c r="IZ20" s="102"/>
      <c r="JA20" s="102"/>
      <c r="JB20" s="113" t="s">
        <v>12</v>
      </c>
      <c r="JC20" s="106" t="s">
        <v>12</v>
      </c>
      <c r="JD20" s="105" t="s">
        <v>12</v>
      </c>
      <c r="JE20" s="102"/>
      <c r="JF20" s="102"/>
      <c r="JG20" s="102"/>
      <c r="JH20" s="102"/>
      <c r="JI20" s="102">
        <v>3.0</v>
      </c>
      <c r="JJ20" s="102">
        <v>3.0</v>
      </c>
      <c r="JK20" s="102">
        <v>3.0</v>
      </c>
      <c r="JL20" s="102"/>
      <c r="JM20" s="102"/>
      <c r="JN20" s="102"/>
      <c r="JO20" s="102"/>
      <c r="JP20" s="102">
        <v>1.0</v>
      </c>
      <c r="JQ20" s="102">
        <v>1.0</v>
      </c>
      <c r="JR20" s="102">
        <v>1.0</v>
      </c>
      <c r="JS20" s="102"/>
      <c r="JT20" s="102"/>
      <c r="JU20" s="102"/>
      <c r="JV20" s="102"/>
      <c r="JW20" s="102" t="s">
        <v>12</v>
      </c>
      <c r="JX20" s="102" t="s">
        <v>12</v>
      </c>
      <c r="JY20" s="102" t="s">
        <v>12</v>
      </c>
      <c r="JZ20" s="102"/>
      <c r="KA20" s="102"/>
      <c r="KB20" s="102"/>
      <c r="KC20" s="102"/>
      <c r="KD20" s="102" t="s">
        <v>12</v>
      </c>
      <c r="KE20" s="102" t="s">
        <v>12</v>
      </c>
      <c r="KF20" s="102" t="s">
        <v>12</v>
      </c>
      <c r="KG20" s="104">
        <f>COUNTIF(IX20:KF20,"D")/3</f>
        <v>3</v>
      </c>
      <c r="KH20" s="104">
        <f>COUNTIF(IX20:KF20,"D")/3</f>
        <v>3</v>
      </c>
      <c r="KI20" s="113"/>
      <c r="KJ20" s="105"/>
      <c r="KK20" s="102"/>
      <c r="KL20" s="102"/>
      <c r="KM20" s="102" t="s">
        <v>12</v>
      </c>
      <c r="KN20" s="102" t="s">
        <v>12</v>
      </c>
      <c r="KO20" s="102" t="s">
        <v>12</v>
      </c>
      <c r="KP20" s="102"/>
      <c r="KQ20" s="102"/>
      <c r="KR20" s="102"/>
      <c r="KS20" s="102"/>
      <c r="KT20" s="102" t="s">
        <v>12</v>
      </c>
      <c r="KU20" s="102" t="s">
        <v>12</v>
      </c>
      <c r="KV20" s="102" t="s">
        <v>12</v>
      </c>
      <c r="KW20" s="102"/>
      <c r="KX20" s="102"/>
      <c r="KY20" s="102"/>
      <c r="KZ20" s="102"/>
      <c r="LA20" s="102">
        <v>1.0</v>
      </c>
      <c r="LB20" s="102">
        <v>1.0</v>
      </c>
      <c r="LC20" s="102">
        <v>1.0</v>
      </c>
      <c r="LD20" s="102"/>
      <c r="LE20" s="102"/>
      <c r="LF20" s="102"/>
      <c r="LG20" s="102"/>
      <c r="LH20" s="102" t="s">
        <v>12</v>
      </c>
      <c r="LI20" s="102" t="s">
        <v>12</v>
      </c>
      <c r="LJ20" s="102" t="s">
        <v>12</v>
      </c>
      <c r="LK20" s="104">
        <f>COUNTIF(KI20:LJ20,"D")/3</f>
        <v>3</v>
      </c>
      <c r="LL20" s="104">
        <f>COUNTIF(KI20:LJ20,"D")/3</f>
        <v>3</v>
      </c>
      <c r="LM20" s="102"/>
      <c r="LN20" s="102"/>
      <c r="LO20" s="113"/>
      <c r="LP20" s="106"/>
      <c r="LQ20" s="102">
        <v>3.0</v>
      </c>
      <c r="LR20" s="102">
        <v>3.0</v>
      </c>
      <c r="LS20" s="102"/>
      <c r="LT20" s="102"/>
      <c r="LU20" s="102"/>
      <c r="LV20" s="102"/>
      <c r="LW20" s="102"/>
      <c r="LX20" s="102" t="s">
        <v>12</v>
      </c>
      <c r="LY20" s="102" t="s">
        <v>12</v>
      </c>
      <c r="LZ20" s="102" t="s">
        <v>12</v>
      </c>
      <c r="MA20" s="102"/>
      <c r="MB20" s="102"/>
      <c r="MC20" s="102"/>
      <c r="MD20" s="102"/>
      <c r="ME20" s="102">
        <v>2.0</v>
      </c>
      <c r="MF20" s="102">
        <v>2.0</v>
      </c>
      <c r="MG20" s="102">
        <v>2.0</v>
      </c>
      <c r="MH20" s="102"/>
      <c r="MI20" s="102"/>
      <c r="MJ20" s="102"/>
      <c r="MK20" s="102"/>
      <c r="ML20" s="102" t="s">
        <v>12</v>
      </c>
      <c r="MM20" s="102" t="s">
        <v>12</v>
      </c>
      <c r="MN20" s="102" t="s">
        <v>12</v>
      </c>
      <c r="MO20" s="104">
        <f>COUNTIF(LM20:MN20,"D")/3</f>
        <v>2</v>
      </c>
      <c r="MP20" s="104">
        <f>COUNTIF(LM20:MN20,"D")/3</f>
        <v>2</v>
      </c>
      <c r="MQ20" s="102"/>
      <c r="MR20" s="102"/>
      <c r="MS20" s="102"/>
      <c r="MT20" s="102"/>
      <c r="MU20" s="102" t="s">
        <v>12</v>
      </c>
      <c r="MV20" s="113" t="s">
        <v>12</v>
      </c>
      <c r="MW20" s="105" t="s">
        <v>12</v>
      </c>
      <c r="MX20" s="102"/>
      <c r="MY20" s="102"/>
      <c r="MZ20" s="102"/>
      <c r="NA20" s="102"/>
      <c r="NB20" s="102" t="s">
        <v>12</v>
      </c>
      <c r="NC20" s="102" t="s">
        <v>12</v>
      </c>
      <c r="ND20" s="102" t="s">
        <v>12</v>
      </c>
      <c r="NE20" s="102"/>
      <c r="NF20" s="102"/>
      <c r="NG20" s="102"/>
      <c r="NH20" s="102"/>
      <c r="NI20" s="102"/>
      <c r="NJ20" s="102"/>
      <c r="NK20" s="102"/>
      <c r="NL20" s="102"/>
      <c r="NM20" s="102"/>
      <c r="NN20" s="102"/>
      <c r="NO20" s="102"/>
      <c r="NP20" s="102"/>
      <c r="NQ20" s="102"/>
      <c r="NR20" s="102"/>
      <c r="NS20" s="102"/>
      <c r="NT20" s="102"/>
      <c r="NU20" s="102"/>
      <c r="NV20" s="102"/>
      <c r="NW20" s="102"/>
      <c r="NX20" s="102"/>
      <c r="NY20" s="102"/>
      <c r="NZ20" s="104">
        <f>COUNTIF(MQ20:NY20,"D")/3</f>
        <v>2</v>
      </c>
      <c r="OA20" s="104">
        <f>COUNTIF(MQ20:NY20,"D")/3</f>
        <v>2</v>
      </c>
      <c r="OB20" s="113"/>
      <c r="OC20" s="106"/>
      <c r="OD20" s="104">
        <f t="shared" ref="OD20:OE20" si="8">SUM(AF20,BJ20,CU20,DY20,FC20,GN20,HR20,IV20,KG20,LK20,MO20,NZ20)</f>
        <v>28</v>
      </c>
      <c r="OE20" s="104">
        <f t="shared" si="8"/>
        <v>28</v>
      </c>
    </row>
    <row r="21" ht="26.25" customHeight="1">
      <c r="A21" s="73"/>
      <c r="B21" s="74"/>
      <c r="C21" s="114"/>
      <c r="D21" s="143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16"/>
      <c r="V21" s="136"/>
      <c r="W21" s="136"/>
      <c r="X21" s="136"/>
      <c r="Y21" s="116"/>
      <c r="Z21" s="136"/>
      <c r="AA21" s="136"/>
      <c r="AB21" s="136"/>
      <c r="AC21" s="136"/>
      <c r="AD21" s="136"/>
      <c r="AE21" s="136"/>
      <c r="AF21" s="138"/>
      <c r="AG21" s="138"/>
      <c r="AH21" s="143"/>
      <c r="AI21" s="140"/>
      <c r="AJ21" s="141"/>
      <c r="AK21" s="142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7"/>
      <c r="AY21" s="136"/>
      <c r="AZ21" s="136"/>
      <c r="BA21" s="136"/>
      <c r="BB21" s="136"/>
      <c r="BC21" s="136"/>
      <c r="BD21" s="136"/>
      <c r="BE21" s="136"/>
      <c r="BF21" s="136"/>
      <c r="BG21" s="166"/>
      <c r="BH21" s="136"/>
      <c r="BI21" s="136"/>
      <c r="BJ21" s="138"/>
      <c r="BK21" s="138"/>
      <c r="BL21" s="116"/>
      <c r="BM21" s="136"/>
      <c r="BN21" s="136"/>
      <c r="BO21" s="116"/>
      <c r="BP21" s="143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7"/>
      <c r="CD21" s="136"/>
      <c r="CE21" s="116"/>
      <c r="CF21" s="116"/>
      <c r="CG21" s="136"/>
      <c r="CH21" s="136"/>
      <c r="CI21" s="136"/>
      <c r="CJ21" s="136"/>
      <c r="CK21" s="136"/>
      <c r="CL21" s="116"/>
      <c r="CM21" s="116"/>
      <c r="CN21" s="136"/>
      <c r="CO21" s="136"/>
      <c r="CP21" s="136"/>
      <c r="CQ21" s="136"/>
      <c r="CR21" s="136"/>
      <c r="CS21" s="140"/>
      <c r="CT21" s="141"/>
      <c r="CU21" s="138"/>
      <c r="CV21" s="138"/>
      <c r="CW21" s="143"/>
      <c r="CX21" s="136"/>
      <c r="CY21" s="165"/>
      <c r="CZ21" s="165"/>
      <c r="DA21" s="136"/>
      <c r="DB21" s="136"/>
      <c r="DC21" s="136"/>
      <c r="DD21" s="136"/>
      <c r="DE21" s="136"/>
      <c r="DF21" s="136"/>
      <c r="DG21" s="136"/>
      <c r="DH21" s="116"/>
      <c r="DI21" s="116"/>
      <c r="DJ21" s="116"/>
      <c r="DK21" s="136"/>
      <c r="DL21" s="136"/>
      <c r="DM21" s="136"/>
      <c r="DN21" s="136"/>
      <c r="DO21" s="116"/>
      <c r="DP21" s="116"/>
      <c r="DQ21" s="116"/>
      <c r="DR21" s="136"/>
      <c r="DS21" s="136"/>
      <c r="DT21" s="136"/>
      <c r="DU21" s="136"/>
      <c r="DV21" s="136"/>
      <c r="DW21" s="136"/>
      <c r="DX21" s="136"/>
      <c r="DY21" s="138"/>
      <c r="DZ21" s="138"/>
      <c r="EA21" s="136"/>
      <c r="EB21" s="141"/>
      <c r="EC21" s="115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50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38"/>
      <c r="FD21" s="138"/>
      <c r="FE21" s="116"/>
      <c r="FF21" s="116"/>
      <c r="FG21" s="116"/>
      <c r="FH21" s="120"/>
      <c r="FI21" s="118"/>
      <c r="FJ21" s="143"/>
      <c r="FK21" s="116"/>
      <c r="FL21" s="136"/>
      <c r="FM21" s="136"/>
      <c r="FN21" s="136"/>
      <c r="FO21" s="136"/>
      <c r="FP21" s="136"/>
      <c r="FQ21" s="136"/>
      <c r="FR21" s="136"/>
      <c r="FS21" s="136"/>
      <c r="FT21" s="136"/>
      <c r="FU21" s="136"/>
      <c r="FV21" s="136"/>
      <c r="FW21" s="137"/>
      <c r="FX21" s="136"/>
      <c r="FY21" s="136"/>
      <c r="FZ21" s="136"/>
      <c r="GA21" s="136"/>
      <c r="GB21" s="136"/>
      <c r="GC21" s="136"/>
      <c r="GD21" s="136"/>
      <c r="GE21" s="136"/>
      <c r="GF21" s="136"/>
      <c r="GG21" s="136"/>
      <c r="GH21" s="136"/>
      <c r="GI21" s="136"/>
      <c r="GJ21" s="136"/>
      <c r="GK21" s="136"/>
      <c r="GL21" s="136"/>
      <c r="GM21" s="140"/>
      <c r="GN21" s="138"/>
      <c r="GO21" s="138"/>
      <c r="GP21" s="143"/>
      <c r="GQ21" s="136"/>
      <c r="GR21" s="136"/>
      <c r="GS21" s="136"/>
      <c r="GT21" s="136"/>
      <c r="GU21" s="136"/>
      <c r="GV21" s="136"/>
      <c r="GW21" s="136"/>
      <c r="GX21" s="136"/>
      <c r="GY21" s="136"/>
      <c r="GZ21" s="136"/>
      <c r="HA21" s="136"/>
      <c r="HB21" s="136"/>
      <c r="HC21" s="137"/>
      <c r="HD21" s="136"/>
      <c r="HE21" s="136"/>
      <c r="HF21" s="136"/>
      <c r="HG21" s="136"/>
      <c r="HH21" s="136"/>
      <c r="HI21" s="136"/>
      <c r="HJ21" s="136"/>
      <c r="HK21" s="136"/>
      <c r="HL21" s="136"/>
      <c r="HM21" s="136"/>
      <c r="HN21" s="136"/>
      <c r="HO21" s="136"/>
      <c r="HP21" s="136"/>
      <c r="HQ21" s="136"/>
      <c r="HR21" s="138"/>
      <c r="HS21" s="138"/>
      <c r="HT21" s="136"/>
      <c r="HU21" s="140"/>
      <c r="HV21" s="141"/>
      <c r="HW21" s="143"/>
      <c r="HX21" s="136"/>
      <c r="HY21" s="136"/>
      <c r="HZ21" s="136"/>
      <c r="IA21" s="136"/>
      <c r="IB21" s="136"/>
      <c r="IC21" s="136"/>
      <c r="ID21" s="136"/>
      <c r="IE21" s="136"/>
      <c r="IF21" s="136"/>
      <c r="IG21" s="136"/>
      <c r="IH21" s="136"/>
      <c r="II21" s="136"/>
      <c r="IJ21" s="137"/>
      <c r="IK21" s="136"/>
      <c r="IL21" s="136"/>
      <c r="IM21" s="136"/>
      <c r="IN21" s="136"/>
      <c r="IO21" s="136"/>
      <c r="IP21" s="136"/>
      <c r="IQ21" s="136"/>
      <c r="IR21" s="136"/>
      <c r="IS21" s="136"/>
      <c r="IT21" s="136"/>
      <c r="IU21" s="136"/>
      <c r="IV21" s="138"/>
      <c r="IW21" s="138"/>
      <c r="IX21" s="136"/>
      <c r="IY21" s="136"/>
      <c r="IZ21" s="136"/>
      <c r="JA21" s="136"/>
      <c r="JB21" s="140"/>
      <c r="JC21" s="141"/>
      <c r="JD21" s="143"/>
      <c r="JE21" s="136"/>
      <c r="JF21" s="136"/>
      <c r="JG21" s="136"/>
      <c r="JH21" s="136"/>
      <c r="JI21" s="136"/>
      <c r="JJ21" s="136"/>
      <c r="JK21" s="136"/>
      <c r="JL21" s="136"/>
      <c r="JM21" s="136"/>
      <c r="JN21" s="136"/>
      <c r="JO21" s="136"/>
      <c r="JP21" s="136"/>
      <c r="JQ21" s="137"/>
      <c r="JR21" s="136"/>
      <c r="JS21" s="136"/>
      <c r="JT21" s="136"/>
      <c r="JU21" s="136"/>
      <c r="JV21" s="136"/>
      <c r="JW21" s="136"/>
      <c r="JX21" s="136"/>
      <c r="JY21" s="136"/>
      <c r="JZ21" s="136"/>
      <c r="KA21" s="136"/>
      <c r="KB21" s="136"/>
      <c r="KC21" s="136"/>
      <c r="KD21" s="136"/>
      <c r="KE21" s="136"/>
      <c r="KF21" s="136"/>
      <c r="KG21" s="138"/>
      <c r="KH21" s="138"/>
      <c r="KI21" s="140"/>
      <c r="KJ21" s="143"/>
      <c r="KK21" s="136"/>
      <c r="KL21" s="136"/>
      <c r="KM21" s="136"/>
      <c r="KN21" s="136"/>
      <c r="KO21" s="136"/>
      <c r="KP21" s="136"/>
      <c r="KQ21" s="136"/>
      <c r="KR21" s="136"/>
      <c r="KS21" s="136"/>
      <c r="KT21" s="136"/>
      <c r="KU21" s="136"/>
      <c r="KV21" s="136"/>
      <c r="KW21" s="137"/>
      <c r="KX21" s="136"/>
      <c r="KY21" s="136"/>
      <c r="KZ21" s="136"/>
      <c r="LA21" s="136"/>
      <c r="LB21" s="136"/>
      <c r="LC21" s="136"/>
      <c r="LD21" s="136"/>
      <c r="LE21" s="136"/>
      <c r="LF21" s="136"/>
      <c r="LG21" s="136"/>
      <c r="LH21" s="136"/>
      <c r="LI21" s="136"/>
      <c r="LJ21" s="136"/>
      <c r="LK21" s="138"/>
      <c r="LL21" s="138"/>
      <c r="LM21" s="136"/>
      <c r="LN21" s="136"/>
      <c r="LO21" s="140"/>
      <c r="LP21" s="141"/>
      <c r="LQ21" s="136"/>
      <c r="LR21" s="136"/>
      <c r="LS21" s="136"/>
      <c r="LT21" s="136"/>
      <c r="LU21" s="136"/>
      <c r="LV21" s="136"/>
      <c r="LW21" s="136"/>
      <c r="LX21" s="136"/>
      <c r="LY21" s="136"/>
      <c r="LZ21" s="136"/>
      <c r="MA21" s="136"/>
      <c r="MB21" s="136"/>
      <c r="MC21" s="136"/>
      <c r="MD21" s="137"/>
      <c r="ME21" s="136"/>
      <c r="MF21" s="136"/>
      <c r="MG21" s="136"/>
      <c r="MH21" s="136"/>
      <c r="MI21" s="136"/>
      <c r="MJ21" s="136"/>
      <c r="MK21" s="136"/>
      <c r="ML21" s="136"/>
      <c r="MM21" s="136"/>
      <c r="MN21" s="136"/>
      <c r="MO21" s="138"/>
      <c r="MP21" s="138"/>
      <c r="MQ21" s="136"/>
      <c r="MR21" s="136"/>
      <c r="MS21" s="136"/>
      <c r="MT21" s="136"/>
      <c r="MU21" s="136"/>
      <c r="MV21" s="140"/>
      <c r="MW21" s="143"/>
      <c r="MX21" s="136"/>
      <c r="MY21" s="136"/>
      <c r="MZ21" s="136"/>
      <c r="NA21" s="136"/>
      <c r="NB21" s="136"/>
      <c r="NC21" s="136"/>
      <c r="ND21" s="136"/>
      <c r="NE21" s="136"/>
      <c r="NF21" s="136"/>
      <c r="NG21" s="136"/>
      <c r="NH21" s="136"/>
      <c r="NI21" s="136"/>
      <c r="NJ21" s="137"/>
      <c r="NK21" s="136"/>
      <c r="NL21" s="136"/>
      <c r="NM21" s="136"/>
      <c r="NN21" s="136"/>
      <c r="NO21" s="136"/>
      <c r="NP21" s="136"/>
      <c r="NQ21" s="136"/>
      <c r="NR21" s="136"/>
      <c r="NS21" s="136"/>
      <c r="NT21" s="136"/>
      <c r="NU21" s="136"/>
      <c r="NV21" s="136"/>
      <c r="NW21" s="136"/>
      <c r="NX21" s="136"/>
      <c r="NY21" s="136"/>
      <c r="NZ21" s="138"/>
      <c r="OA21" s="138"/>
      <c r="OB21" s="140"/>
      <c r="OC21" s="141"/>
      <c r="OD21" s="138"/>
      <c r="OE21" s="138"/>
    </row>
    <row r="22" ht="26.25" customHeight="1">
      <c r="A22" s="121" t="s">
        <v>78</v>
      </c>
      <c r="B22" s="122" t="s">
        <v>72</v>
      </c>
      <c r="C22" s="123" t="s">
        <v>27</v>
      </c>
      <c r="D22" s="102"/>
      <c r="E22" s="102"/>
      <c r="F22" s="111"/>
      <c r="G22" s="102"/>
      <c r="H22" s="102">
        <v>2.0</v>
      </c>
      <c r="I22" s="102">
        <v>2.0</v>
      </c>
      <c r="J22" s="102">
        <v>2.0</v>
      </c>
      <c r="K22" s="102"/>
      <c r="L22" s="102"/>
      <c r="M22" s="102"/>
      <c r="N22" s="102"/>
      <c r="O22" s="102">
        <v>3.0</v>
      </c>
      <c r="P22" s="102">
        <v>3.0</v>
      </c>
      <c r="Q22" s="102">
        <v>3.0</v>
      </c>
      <c r="R22" s="102"/>
      <c r="S22" s="102"/>
      <c r="T22" s="102"/>
      <c r="U22" s="102"/>
      <c r="V22" s="102" t="s">
        <v>12</v>
      </c>
      <c r="W22" s="102" t="s">
        <v>12</v>
      </c>
      <c r="X22" s="102" t="s">
        <v>12</v>
      </c>
      <c r="Y22" s="102"/>
      <c r="Z22" s="102"/>
      <c r="AA22" s="102"/>
      <c r="AB22" s="102"/>
      <c r="AC22" s="102" t="s">
        <v>12</v>
      </c>
      <c r="AD22" s="102" t="s">
        <v>12</v>
      </c>
      <c r="AE22" s="102" t="s">
        <v>12</v>
      </c>
      <c r="AF22" s="104">
        <f>COUNTIF(D22:AE22,"D")/3</f>
        <v>2</v>
      </c>
      <c r="AG22" s="104">
        <f>COUNTIF(D22:AE22,"D")/3</f>
        <v>2</v>
      </c>
      <c r="AH22" s="105"/>
      <c r="AI22" s="113"/>
      <c r="AJ22" s="106"/>
      <c r="AK22" s="107"/>
      <c r="AL22" s="102" t="s">
        <v>12</v>
      </c>
      <c r="AM22" s="102" t="s">
        <v>12</v>
      </c>
      <c r="AN22" s="102" t="s">
        <v>12</v>
      </c>
      <c r="AO22" s="102"/>
      <c r="AP22" s="102"/>
      <c r="AQ22" s="102"/>
      <c r="AR22" s="102"/>
      <c r="AS22" s="102">
        <v>3.0</v>
      </c>
      <c r="AT22" s="102">
        <v>3.0</v>
      </c>
      <c r="AU22" s="102"/>
      <c r="AV22" s="102"/>
      <c r="AW22" s="102"/>
      <c r="AX22" s="102"/>
      <c r="AY22" s="102"/>
      <c r="AZ22" s="102" t="s">
        <v>68</v>
      </c>
      <c r="BA22" s="102">
        <v>2.0</v>
      </c>
      <c r="BB22" s="102">
        <v>2.0</v>
      </c>
      <c r="BC22" s="102"/>
      <c r="BD22" s="111"/>
      <c r="BE22" s="111"/>
      <c r="BF22" s="111"/>
      <c r="BG22" s="102" t="s">
        <v>12</v>
      </c>
      <c r="BH22" s="102" t="s">
        <v>12</v>
      </c>
      <c r="BI22" s="102" t="s">
        <v>12</v>
      </c>
      <c r="BJ22" s="104">
        <f>COUNTIF(AH22:BI22,"D")/3</f>
        <v>2</v>
      </c>
      <c r="BK22" s="104">
        <f>COUNTIF(AH22:BI22,"D")/3</f>
        <v>2</v>
      </c>
      <c r="BL22" s="111"/>
      <c r="BM22" s="111"/>
      <c r="BN22" s="102"/>
      <c r="BO22" s="102"/>
      <c r="BP22" s="105" t="s">
        <v>12</v>
      </c>
      <c r="BQ22" s="102" t="s">
        <v>12</v>
      </c>
      <c r="BR22" s="102" t="s">
        <v>12</v>
      </c>
      <c r="BS22" s="102"/>
      <c r="BT22" s="102"/>
      <c r="BU22" s="102"/>
      <c r="BV22" s="102"/>
      <c r="BW22" s="102" t="s">
        <v>68</v>
      </c>
      <c r="BX22" s="102" t="s">
        <v>12</v>
      </c>
      <c r="BY22" s="102" t="s">
        <v>12</v>
      </c>
      <c r="BZ22" s="102"/>
      <c r="CA22" s="102"/>
      <c r="CB22" s="111"/>
      <c r="CC22" s="111"/>
      <c r="CD22" s="102">
        <v>1.0</v>
      </c>
      <c r="CE22" s="102">
        <v>1.0</v>
      </c>
      <c r="CF22" s="102">
        <v>1.0</v>
      </c>
      <c r="CG22" s="102"/>
      <c r="CH22" s="102"/>
      <c r="CI22" s="102"/>
      <c r="CJ22" s="111"/>
      <c r="CK22" s="102" t="s">
        <v>68</v>
      </c>
      <c r="CL22" s="156" t="s">
        <v>12</v>
      </c>
      <c r="CM22" s="156" t="s">
        <v>12</v>
      </c>
      <c r="CN22" s="102"/>
      <c r="CO22" s="111"/>
      <c r="CP22" s="111"/>
      <c r="CQ22" s="102"/>
      <c r="CR22" s="102">
        <v>3.0</v>
      </c>
      <c r="CS22" s="113">
        <v>3.0</v>
      </c>
      <c r="CT22" s="106">
        <v>3.0</v>
      </c>
      <c r="CU22" s="104">
        <f>COUNTIF(BL22:CT22,"D")/3</f>
        <v>2.333333333</v>
      </c>
      <c r="CV22" s="104">
        <f>COUNTIF(BL22:CT22,"D")/3</f>
        <v>2.333333333</v>
      </c>
      <c r="CW22" s="105"/>
      <c r="CX22" s="102"/>
      <c r="CY22" s="102"/>
      <c r="CZ22" s="102"/>
      <c r="DA22" s="102">
        <v>1.0</v>
      </c>
      <c r="DB22" s="102">
        <v>1.0</v>
      </c>
      <c r="DC22" s="102">
        <v>1.0</v>
      </c>
      <c r="DD22" s="102"/>
      <c r="DE22" s="102"/>
      <c r="DF22" s="102"/>
      <c r="DG22" s="111"/>
      <c r="DH22" s="102">
        <v>3.0</v>
      </c>
      <c r="DI22" s="102">
        <v>3.0</v>
      </c>
      <c r="DJ22" s="102">
        <v>3.0</v>
      </c>
      <c r="DK22" s="102"/>
      <c r="DL22" s="102"/>
      <c r="DM22" s="102"/>
      <c r="DN22" s="102"/>
      <c r="DO22" s="102" t="s">
        <v>12</v>
      </c>
      <c r="DP22" s="102" t="s">
        <v>12</v>
      </c>
      <c r="DQ22" s="102" t="s">
        <v>12</v>
      </c>
      <c r="DR22" s="102"/>
      <c r="DS22" s="102"/>
      <c r="DT22" s="102"/>
      <c r="DU22" s="102"/>
      <c r="DV22" s="102" t="s">
        <v>12</v>
      </c>
      <c r="DW22" s="102" t="s">
        <v>12</v>
      </c>
      <c r="DX22" s="102" t="s">
        <v>12</v>
      </c>
      <c r="DY22" s="104">
        <f>COUNTIF(CW22:DX22,"D")/3</f>
        <v>2</v>
      </c>
      <c r="DZ22" s="104">
        <f>COUNTIF(CW22:DX22,"D")/3</f>
        <v>2</v>
      </c>
      <c r="EA22" s="102"/>
      <c r="EB22" s="106"/>
      <c r="EC22" s="105"/>
      <c r="ED22" s="102"/>
      <c r="EE22" s="102">
        <v>3.0</v>
      </c>
      <c r="EF22" s="102">
        <v>3.0</v>
      </c>
      <c r="EG22" s="102">
        <v>3.0</v>
      </c>
      <c r="EH22" s="102"/>
      <c r="EI22" s="102"/>
      <c r="EJ22" s="102"/>
      <c r="EK22" s="102"/>
      <c r="EL22" s="102" t="s">
        <v>12</v>
      </c>
      <c r="EM22" s="102" t="s">
        <v>12</v>
      </c>
      <c r="EN22" s="102" t="s">
        <v>12</v>
      </c>
      <c r="EO22" s="102"/>
      <c r="EP22" s="102"/>
      <c r="EQ22" s="102"/>
      <c r="ER22" s="102"/>
      <c r="ES22" s="102">
        <v>1.0</v>
      </c>
      <c r="ET22" s="102">
        <v>1.0</v>
      </c>
      <c r="EU22" s="102">
        <v>1.0</v>
      </c>
      <c r="EV22" s="102"/>
      <c r="EW22" s="102"/>
      <c r="EX22" s="102"/>
      <c r="EY22" s="111"/>
      <c r="EZ22" s="102" t="s">
        <v>12</v>
      </c>
      <c r="FA22" s="102" t="s">
        <v>12</v>
      </c>
      <c r="FB22" s="102" t="s">
        <v>12</v>
      </c>
      <c r="FC22" s="104">
        <f>COUNTIF(EA22:FB22,"D")/3</f>
        <v>2</v>
      </c>
      <c r="FD22" s="104">
        <f>COUNTIF(EA22:FB22,"D")/3</f>
        <v>2</v>
      </c>
      <c r="FE22" s="102"/>
      <c r="FF22" s="102"/>
      <c r="FG22" s="102"/>
      <c r="FH22" s="113"/>
      <c r="FI22" s="106" t="s">
        <v>12</v>
      </c>
      <c r="FJ22" s="105">
        <v>1.0</v>
      </c>
      <c r="FK22" s="102"/>
      <c r="FL22" s="102"/>
      <c r="FM22" s="102"/>
      <c r="FN22" s="102"/>
      <c r="FO22" s="102"/>
      <c r="FP22" s="102" t="s">
        <v>12</v>
      </c>
      <c r="FQ22" s="102" t="s">
        <v>12</v>
      </c>
      <c r="FR22" s="102" t="s">
        <v>12</v>
      </c>
      <c r="FS22" s="102"/>
      <c r="FT22" s="102"/>
      <c r="FU22" s="102"/>
      <c r="FV22" s="102"/>
      <c r="FW22" s="102">
        <v>3.0</v>
      </c>
      <c r="FX22" s="102">
        <v>3.0</v>
      </c>
      <c r="FY22" s="102">
        <v>3.0</v>
      </c>
      <c r="FZ22" s="102"/>
      <c r="GA22" s="102"/>
      <c r="GB22" s="102"/>
      <c r="GC22" s="102"/>
      <c r="GD22" s="102" t="s">
        <v>12</v>
      </c>
      <c r="GE22" s="102" t="s">
        <v>12</v>
      </c>
      <c r="GF22" s="102" t="s">
        <v>12</v>
      </c>
      <c r="GG22" s="102"/>
      <c r="GH22" s="102"/>
      <c r="GI22" s="102"/>
      <c r="GJ22" s="102"/>
      <c r="GK22" s="102">
        <v>1.0</v>
      </c>
      <c r="GL22" s="102">
        <v>1.0</v>
      </c>
      <c r="GM22" s="113">
        <v>1.0</v>
      </c>
      <c r="GN22" s="104">
        <f>COUNTIF(FE22:GM22,"D")/3</f>
        <v>2.333333333</v>
      </c>
      <c r="GO22" s="104">
        <f>COUNTIF(FE22:GM22,"D")/3</f>
        <v>2.333333333</v>
      </c>
      <c r="GP22" s="105"/>
      <c r="GQ22" s="102"/>
      <c r="GR22" s="102"/>
      <c r="GS22" s="102"/>
      <c r="GT22" s="102" t="s">
        <v>12</v>
      </c>
      <c r="GU22" s="102" t="s">
        <v>12</v>
      </c>
      <c r="GV22" s="102" t="s">
        <v>12</v>
      </c>
      <c r="GW22" s="102"/>
      <c r="GX22" s="102"/>
      <c r="GY22" s="102"/>
      <c r="GZ22" s="102"/>
      <c r="HA22" s="102">
        <v>1.0</v>
      </c>
      <c r="HB22" s="102">
        <v>1.0</v>
      </c>
      <c r="HC22" s="102">
        <v>1.0</v>
      </c>
      <c r="HD22" s="102"/>
      <c r="HE22" s="102"/>
      <c r="HF22" s="102"/>
      <c r="HG22" s="102"/>
      <c r="HH22" s="102" t="s">
        <v>12</v>
      </c>
      <c r="HI22" s="102" t="s">
        <v>12</v>
      </c>
      <c r="HJ22" s="102" t="s">
        <v>12</v>
      </c>
      <c r="HK22" s="102"/>
      <c r="HL22" s="102"/>
      <c r="HM22" s="102"/>
      <c r="HN22" s="102"/>
      <c r="HO22" s="102" t="s">
        <v>12</v>
      </c>
      <c r="HP22" s="102" t="s">
        <v>12</v>
      </c>
      <c r="HQ22" s="102" t="s">
        <v>12</v>
      </c>
      <c r="HR22" s="104">
        <f>COUNTIF(GP22:HQ22,"D")/3</f>
        <v>3</v>
      </c>
      <c r="HS22" s="104">
        <f>COUNTIF(GP22:HQ22,"D")/3</f>
        <v>3</v>
      </c>
      <c r="HT22" s="102"/>
      <c r="HU22" s="113"/>
      <c r="HV22" s="106"/>
      <c r="HW22" s="105"/>
      <c r="HX22" s="102">
        <v>1.0</v>
      </c>
      <c r="HY22" s="102">
        <v>1.0</v>
      </c>
      <c r="HZ22" s="102">
        <v>2.0</v>
      </c>
      <c r="IA22" s="102"/>
      <c r="IB22" s="102"/>
      <c r="IC22" s="102"/>
      <c r="ID22" s="102"/>
      <c r="IE22" s="102" t="s">
        <v>12</v>
      </c>
      <c r="IF22" s="102" t="s">
        <v>12</v>
      </c>
      <c r="IG22" s="102" t="s">
        <v>12</v>
      </c>
      <c r="IH22" s="102"/>
      <c r="II22" s="102"/>
      <c r="IJ22" s="102"/>
      <c r="IK22" s="102"/>
      <c r="IL22" s="102" t="s">
        <v>12</v>
      </c>
      <c r="IM22" s="102" t="s">
        <v>12</v>
      </c>
      <c r="IN22" s="102" t="s">
        <v>12</v>
      </c>
      <c r="IO22" s="102"/>
      <c r="IP22" s="102"/>
      <c r="IQ22" s="102"/>
      <c r="IR22" s="102"/>
      <c r="IS22" s="102" t="s">
        <v>12</v>
      </c>
      <c r="IT22" s="102" t="s">
        <v>12</v>
      </c>
      <c r="IU22" s="102" t="s">
        <v>12</v>
      </c>
      <c r="IV22" s="104">
        <f>COUNTIF(HT22:IU22,"D")/3</f>
        <v>3</v>
      </c>
      <c r="IW22" s="104">
        <f>COUNTIF(HT22:IU22,"D")/3</f>
        <v>3</v>
      </c>
      <c r="IX22" s="102"/>
      <c r="IY22" s="102"/>
      <c r="IZ22" s="102"/>
      <c r="JA22" s="102"/>
      <c r="JB22" s="113" t="s">
        <v>12</v>
      </c>
      <c r="JC22" s="106" t="s">
        <v>12</v>
      </c>
      <c r="JD22" s="105" t="s">
        <v>12</v>
      </c>
      <c r="JE22" s="102"/>
      <c r="JF22" s="102"/>
      <c r="JG22" s="102"/>
      <c r="JH22" s="102"/>
      <c r="JI22" s="102" t="s">
        <v>12</v>
      </c>
      <c r="JJ22" s="102" t="s">
        <v>12</v>
      </c>
      <c r="JK22" s="102" t="s">
        <v>12</v>
      </c>
      <c r="JL22" s="102"/>
      <c r="JM22" s="102"/>
      <c r="JN22" s="102"/>
      <c r="JO22" s="102"/>
      <c r="JP22" s="102">
        <v>2.0</v>
      </c>
      <c r="JQ22" s="102">
        <v>2.0</v>
      </c>
      <c r="JR22" s="102">
        <v>2.0</v>
      </c>
      <c r="JS22" s="102"/>
      <c r="JT22" s="102"/>
      <c r="JU22" s="102"/>
      <c r="JV22" s="102"/>
      <c r="JW22" s="102" t="s">
        <v>12</v>
      </c>
      <c r="JX22" s="102" t="s">
        <v>12</v>
      </c>
      <c r="JY22" s="102" t="s">
        <v>12</v>
      </c>
      <c r="JZ22" s="102"/>
      <c r="KA22" s="102"/>
      <c r="KB22" s="102"/>
      <c r="KC22" s="102"/>
      <c r="KD22" s="102">
        <v>3.0</v>
      </c>
      <c r="KE22" s="102">
        <v>3.0</v>
      </c>
      <c r="KF22" s="102">
        <v>3.0</v>
      </c>
      <c r="KG22" s="104">
        <f>COUNTIF(IX22:KF22,"D")/3</f>
        <v>3</v>
      </c>
      <c r="KH22" s="104">
        <f>COUNTIF(IX22:KF22,"D")/3</f>
        <v>3</v>
      </c>
      <c r="KI22" s="113"/>
      <c r="KJ22" s="105"/>
      <c r="KK22" s="102"/>
      <c r="KL22" s="102"/>
      <c r="KM22" s="102">
        <v>1.0</v>
      </c>
      <c r="KN22" s="102" t="s">
        <v>12</v>
      </c>
      <c r="KO22" s="102" t="s">
        <v>12</v>
      </c>
      <c r="KP22" s="102"/>
      <c r="KQ22" s="102"/>
      <c r="KR22" s="102"/>
      <c r="KS22" s="102"/>
      <c r="KT22" s="102" t="s">
        <v>12</v>
      </c>
      <c r="KU22" s="102">
        <v>1.0</v>
      </c>
      <c r="KV22" s="102">
        <v>1.0</v>
      </c>
      <c r="KW22" s="102"/>
      <c r="KX22" s="102"/>
      <c r="KY22" s="102"/>
      <c r="KZ22" s="102"/>
      <c r="LA22" s="102" t="s">
        <v>12</v>
      </c>
      <c r="LB22" s="102" t="s">
        <v>12</v>
      </c>
      <c r="LC22" s="102" t="s">
        <v>12</v>
      </c>
      <c r="LD22" s="102"/>
      <c r="LE22" s="102"/>
      <c r="LF22" s="102"/>
      <c r="LG22" s="102"/>
      <c r="LH22" s="102">
        <v>3.0</v>
      </c>
      <c r="LI22" s="102">
        <v>3.0</v>
      </c>
      <c r="LJ22" s="102"/>
      <c r="LK22" s="104">
        <f>COUNTIF(KI22:LJ22,"D")/3</f>
        <v>2</v>
      </c>
      <c r="LL22" s="104">
        <f>COUNTIF(KI22:LJ22,"D")/3</f>
        <v>2</v>
      </c>
      <c r="LM22" s="102"/>
      <c r="LN22" s="102"/>
      <c r="LO22" s="113"/>
      <c r="LP22" s="106"/>
      <c r="LQ22" s="102">
        <v>2.0</v>
      </c>
      <c r="LR22" s="102">
        <v>2.0</v>
      </c>
      <c r="LS22" s="102">
        <v>2.0</v>
      </c>
      <c r="LT22" s="102"/>
      <c r="LU22" s="102"/>
      <c r="LV22" s="102"/>
      <c r="LW22" s="102"/>
      <c r="LX22" s="102" t="s">
        <v>12</v>
      </c>
      <c r="LY22" s="102" t="s">
        <v>12</v>
      </c>
      <c r="LZ22" s="102" t="s">
        <v>12</v>
      </c>
      <c r="MA22" s="102"/>
      <c r="MB22" s="102"/>
      <c r="MC22" s="102"/>
      <c r="MD22" s="102"/>
      <c r="ME22" s="102">
        <v>3.0</v>
      </c>
      <c r="MF22" s="102">
        <v>3.0</v>
      </c>
      <c r="MG22" s="102"/>
      <c r="MH22" s="102"/>
      <c r="MI22" s="102"/>
      <c r="MJ22" s="102"/>
      <c r="MK22" s="102"/>
      <c r="ML22" s="102" t="s">
        <v>12</v>
      </c>
      <c r="MM22" s="102" t="s">
        <v>12</v>
      </c>
      <c r="MN22" s="102" t="s">
        <v>12</v>
      </c>
      <c r="MO22" s="104">
        <f>COUNTIF(LM22:MN22,"D")/3</f>
        <v>2</v>
      </c>
      <c r="MP22" s="104">
        <f>COUNTIF(LM22:MN22,"D")/3</f>
        <v>2</v>
      </c>
      <c r="MQ22" s="102"/>
      <c r="MR22" s="102"/>
      <c r="MS22" s="102"/>
      <c r="MT22" s="102"/>
      <c r="MU22" s="102" t="s">
        <v>21</v>
      </c>
      <c r="MV22" s="113" t="s">
        <v>12</v>
      </c>
      <c r="MW22" s="105" t="s">
        <v>12</v>
      </c>
      <c r="MX22" s="102"/>
      <c r="MY22" s="102"/>
      <c r="MZ22" s="102"/>
      <c r="NA22" s="102"/>
      <c r="NB22" s="102" t="s">
        <v>12</v>
      </c>
      <c r="NC22" s="102" t="s">
        <v>12</v>
      </c>
      <c r="ND22" s="102" t="s">
        <v>12</v>
      </c>
      <c r="NE22" s="102"/>
      <c r="NF22" s="102"/>
      <c r="NG22" s="102"/>
      <c r="NH22" s="102"/>
      <c r="NI22" s="102" t="s">
        <v>12</v>
      </c>
      <c r="NJ22" s="102" t="s">
        <v>12</v>
      </c>
      <c r="NK22" s="102" t="s">
        <v>12</v>
      </c>
      <c r="NL22" s="102"/>
      <c r="NM22" s="102"/>
      <c r="NN22" s="102"/>
      <c r="NO22" s="102"/>
      <c r="NP22" s="102"/>
      <c r="NQ22" s="102"/>
      <c r="NR22" s="102"/>
      <c r="NS22" s="102"/>
      <c r="NT22" s="102"/>
      <c r="NU22" s="102"/>
      <c r="NV22" s="102"/>
      <c r="NW22" s="102"/>
      <c r="NX22" s="102"/>
      <c r="NY22" s="102"/>
      <c r="NZ22" s="104">
        <f>COUNTIF(MQ22:NY22,"D")/3</f>
        <v>2.666666667</v>
      </c>
      <c r="OA22" s="104">
        <f>COUNTIF(MQ22:NY22,"D")/3</f>
        <v>2.666666667</v>
      </c>
      <c r="OB22" s="113"/>
      <c r="OC22" s="106"/>
      <c r="OD22" s="104">
        <f t="shared" ref="OD22:OE22" si="9">SUM(AF22,BJ22,CU22,DY22,FC22,GN22,HR22,IV22,KG22,LK22,MO22,NZ22)</f>
        <v>28.33333333</v>
      </c>
      <c r="OE22" s="104">
        <f t="shared" si="9"/>
        <v>28.33333333</v>
      </c>
    </row>
    <row r="23" ht="26.25" customHeight="1">
      <c r="A23" s="73"/>
      <c r="B23" s="74"/>
      <c r="C23" s="114"/>
      <c r="D23" s="143"/>
      <c r="E23" s="136"/>
      <c r="F23" s="116"/>
      <c r="G23" s="11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8"/>
      <c r="AG23" s="138"/>
      <c r="AH23" s="143"/>
      <c r="AI23" s="140"/>
      <c r="AJ23" s="141"/>
      <c r="AK23" s="142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7"/>
      <c r="AY23" s="136"/>
      <c r="AZ23" s="136"/>
      <c r="BA23" s="167"/>
      <c r="BB23" s="136"/>
      <c r="BC23" s="136"/>
      <c r="BD23" s="136"/>
      <c r="BE23" s="136"/>
      <c r="BF23" s="136"/>
      <c r="BG23" s="136">
        <v>1.0</v>
      </c>
      <c r="BH23" s="136"/>
      <c r="BI23" s="136"/>
      <c r="BJ23" s="138"/>
      <c r="BK23" s="138"/>
      <c r="BL23" s="116"/>
      <c r="BM23" s="136"/>
      <c r="BN23" s="168"/>
      <c r="BO23" s="136"/>
      <c r="BP23" s="143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16"/>
      <c r="CF23" s="116"/>
      <c r="CG23" s="136"/>
      <c r="CH23" s="136"/>
      <c r="CI23" s="136"/>
      <c r="CJ23" s="136"/>
      <c r="CK23" s="136"/>
      <c r="CL23" s="169"/>
      <c r="CM23" s="116"/>
      <c r="CN23" s="136"/>
      <c r="CO23" s="136"/>
      <c r="CP23" s="116"/>
      <c r="CQ23" s="136"/>
      <c r="CR23" s="136"/>
      <c r="CS23" s="140"/>
      <c r="CT23" s="141"/>
      <c r="CU23" s="138"/>
      <c r="CV23" s="138"/>
      <c r="CW23" s="143"/>
      <c r="CX23" s="136"/>
      <c r="CY23" s="136"/>
      <c r="CZ23" s="136"/>
      <c r="DA23" s="136"/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6"/>
      <c r="DW23" s="136"/>
      <c r="DX23" s="136"/>
      <c r="DY23" s="138"/>
      <c r="DZ23" s="138"/>
      <c r="EA23" s="136"/>
      <c r="EB23" s="141"/>
      <c r="EC23" s="115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50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38"/>
      <c r="FD23" s="138"/>
      <c r="FE23" s="116"/>
      <c r="FF23" s="116"/>
      <c r="FG23" s="116"/>
      <c r="FH23" s="120"/>
      <c r="FI23" s="118"/>
      <c r="FJ23" s="143"/>
      <c r="FK23" s="136"/>
      <c r="FL23" s="136"/>
      <c r="FM23" s="136"/>
      <c r="FN23" s="136"/>
      <c r="FO23" s="136"/>
      <c r="FP23" s="136"/>
      <c r="FQ23" s="136"/>
      <c r="FR23" s="136"/>
      <c r="FS23" s="136"/>
      <c r="FT23" s="136"/>
      <c r="FU23" s="136"/>
      <c r="FV23" s="136"/>
      <c r="FW23" s="137"/>
      <c r="FX23" s="136"/>
      <c r="FY23" s="136"/>
      <c r="FZ23" s="136"/>
      <c r="GA23" s="136"/>
      <c r="GB23" s="136"/>
      <c r="GC23" s="136"/>
      <c r="GD23" s="136"/>
      <c r="GE23" s="136"/>
      <c r="GF23" s="136"/>
      <c r="GG23" s="136"/>
      <c r="GH23" s="136"/>
      <c r="GI23" s="136"/>
      <c r="GJ23" s="136"/>
      <c r="GK23" s="136"/>
      <c r="GL23" s="136"/>
      <c r="GM23" s="140"/>
      <c r="GN23" s="138"/>
      <c r="GO23" s="138"/>
      <c r="GP23" s="143"/>
      <c r="GQ23" s="136"/>
      <c r="GR23" s="136"/>
      <c r="GS23" s="136"/>
      <c r="GT23" s="136"/>
      <c r="GU23" s="136"/>
      <c r="GV23" s="136"/>
      <c r="GW23" s="136"/>
      <c r="GX23" s="136"/>
      <c r="GY23" s="136"/>
      <c r="GZ23" s="136"/>
      <c r="HA23" s="136"/>
      <c r="HB23" s="136"/>
      <c r="HC23" s="137"/>
      <c r="HD23" s="136"/>
      <c r="HE23" s="136"/>
      <c r="HF23" s="136"/>
      <c r="HG23" s="136"/>
      <c r="HH23" s="136"/>
      <c r="HI23" s="136"/>
      <c r="HJ23" s="136"/>
      <c r="HK23" s="136"/>
      <c r="HL23" s="136"/>
      <c r="HM23" s="136"/>
      <c r="HN23" s="136"/>
      <c r="HO23" s="136"/>
      <c r="HP23" s="136"/>
      <c r="HQ23" s="136"/>
      <c r="HR23" s="138"/>
      <c r="HS23" s="138"/>
      <c r="HT23" s="136"/>
      <c r="HU23" s="140"/>
      <c r="HV23" s="141"/>
      <c r="HW23" s="143"/>
      <c r="HX23" s="136"/>
      <c r="HY23" s="136"/>
      <c r="HZ23" s="136"/>
      <c r="IA23" s="136"/>
      <c r="IB23" s="136"/>
      <c r="IC23" s="136"/>
      <c r="ID23" s="136"/>
      <c r="IE23" s="136"/>
      <c r="IF23" s="136"/>
      <c r="IG23" s="136"/>
      <c r="IH23" s="136"/>
      <c r="II23" s="136"/>
      <c r="IJ23" s="137"/>
      <c r="IK23" s="136"/>
      <c r="IL23" s="136"/>
      <c r="IM23" s="136"/>
      <c r="IN23" s="136"/>
      <c r="IO23" s="136"/>
      <c r="IP23" s="136"/>
      <c r="IQ23" s="136"/>
      <c r="IR23" s="136"/>
      <c r="IS23" s="136"/>
      <c r="IT23" s="136"/>
      <c r="IU23" s="136"/>
      <c r="IV23" s="138"/>
      <c r="IW23" s="138"/>
      <c r="IX23" s="136"/>
      <c r="IY23" s="136"/>
      <c r="IZ23" s="136"/>
      <c r="JA23" s="136"/>
      <c r="JB23" s="140"/>
      <c r="JC23" s="141"/>
      <c r="JD23" s="143"/>
      <c r="JE23" s="136"/>
      <c r="JF23" s="136"/>
      <c r="JG23" s="136"/>
      <c r="JH23" s="136"/>
      <c r="JI23" s="136"/>
      <c r="JJ23" s="136"/>
      <c r="JK23" s="136"/>
      <c r="JL23" s="136"/>
      <c r="JM23" s="136"/>
      <c r="JN23" s="136"/>
      <c r="JO23" s="136"/>
      <c r="JP23" s="136"/>
      <c r="JQ23" s="137"/>
      <c r="JR23" s="136"/>
      <c r="JS23" s="136"/>
      <c r="JT23" s="136"/>
      <c r="JU23" s="136"/>
      <c r="JV23" s="136"/>
      <c r="JW23" s="136"/>
      <c r="JX23" s="136"/>
      <c r="JY23" s="136"/>
      <c r="JZ23" s="136"/>
      <c r="KA23" s="136"/>
      <c r="KB23" s="136"/>
      <c r="KC23" s="136"/>
      <c r="KD23" s="136"/>
      <c r="KE23" s="136"/>
      <c r="KF23" s="136"/>
      <c r="KG23" s="138"/>
      <c r="KH23" s="138"/>
      <c r="KI23" s="140"/>
      <c r="KJ23" s="143"/>
      <c r="KK23" s="136"/>
      <c r="KL23" s="136"/>
      <c r="KM23" s="136"/>
      <c r="KN23" s="136"/>
      <c r="KO23" s="136"/>
      <c r="KP23" s="136"/>
      <c r="KQ23" s="136"/>
      <c r="KR23" s="136"/>
      <c r="KS23" s="136"/>
      <c r="KT23" s="136"/>
      <c r="KU23" s="136"/>
      <c r="KV23" s="136"/>
      <c r="KW23" s="137"/>
      <c r="KX23" s="136"/>
      <c r="KY23" s="136"/>
      <c r="KZ23" s="136"/>
      <c r="LA23" s="136"/>
      <c r="LB23" s="136"/>
      <c r="LC23" s="136"/>
      <c r="LD23" s="136"/>
      <c r="LE23" s="136"/>
      <c r="LF23" s="136"/>
      <c r="LG23" s="136"/>
      <c r="LH23" s="136"/>
      <c r="LI23" s="136"/>
      <c r="LJ23" s="136"/>
      <c r="LK23" s="138"/>
      <c r="LL23" s="138"/>
      <c r="LM23" s="136"/>
      <c r="LN23" s="136"/>
      <c r="LO23" s="140"/>
      <c r="LP23" s="141"/>
      <c r="LQ23" s="136"/>
      <c r="LR23" s="136"/>
      <c r="LS23" s="136"/>
      <c r="LT23" s="136"/>
      <c r="LU23" s="136"/>
      <c r="LV23" s="136"/>
      <c r="LW23" s="136"/>
      <c r="LX23" s="136"/>
      <c r="LY23" s="136"/>
      <c r="LZ23" s="136"/>
      <c r="MA23" s="136"/>
      <c r="MB23" s="136"/>
      <c r="MC23" s="136"/>
      <c r="MD23" s="137"/>
      <c r="ME23" s="136"/>
      <c r="MF23" s="136"/>
      <c r="MG23" s="136"/>
      <c r="MH23" s="136"/>
      <c r="MI23" s="136"/>
      <c r="MJ23" s="136"/>
      <c r="MK23" s="136"/>
      <c r="ML23" s="136"/>
      <c r="MM23" s="136"/>
      <c r="MN23" s="136"/>
      <c r="MO23" s="138"/>
      <c r="MP23" s="138"/>
      <c r="MQ23" s="136"/>
      <c r="MR23" s="136"/>
      <c r="MS23" s="136"/>
      <c r="MT23" s="136"/>
      <c r="MU23" s="136"/>
      <c r="MV23" s="140"/>
      <c r="MW23" s="143"/>
      <c r="MX23" s="136"/>
      <c r="MY23" s="136"/>
      <c r="MZ23" s="136"/>
      <c r="NA23" s="136"/>
      <c r="NB23" s="136"/>
      <c r="NC23" s="136"/>
      <c r="ND23" s="136"/>
      <c r="NE23" s="136"/>
      <c r="NF23" s="136"/>
      <c r="NG23" s="136"/>
      <c r="NH23" s="136"/>
      <c r="NI23" s="136"/>
      <c r="NJ23" s="137"/>
      <c r="NK23" s="136"/>
      <c r="NL23" s="136"/>
      <c r="NM23" s="136"/>
      <c r="NN23" s="136"/>
      <c r="NO23" s="136"/>
      <c r="NP23" s="136"/>
      <c r="NQ23" s="136"/>
      <c r="NR23" s="136"/>
      <c r="NS23" s="136"/>
      <c r="NT23" s="136"/>
      <c r="NU23" s="136"/>
      <c r="NV23" s="136"/>
      <c r="NW23" s="136"/>
      <c r="NX23" s="136"/>
      <c r="NY23" s="136"/>
      <c r="NZ23" s="138"/>
      <c r="OA23" s="138"/>
      <c r="OB23" s="140"/>
      <c r="OC23" s="141"/>
      <c r="OD23" s="138"/>
      <c r="OE23" s="138"/>
    </row>
    <row r="24" ht="26.25" customHeight="1">
      <c r="A24" s="98" t="s">
        <v>79</v>
      </c>
      <c r="B24" s="99" t="s">
        <v>72</v>
      </c>
      <c r="C24" s="100" t="s">
        <v>28</v>
      </c>
      <c r="D24" s="102"/>
      <c r="E24" s="102"/>
      <c r="F24" s="102"/>
      <c r="G24" s="102"/>
      <c r="H24" s="102" t="s">
        <v>12</v>
      </c>
      <c r="I24" s="102" t="s">
        <v>12</v>
      </c>
      <c r="J24" s="102" t="s">
        <v>12</v>
      </c>
      <c r="K24" s="102"/>
      <c r="L24" s="111"/>
      <c r="M24" s="102"/>
      <c r="N24" s="102"/>
      <c r="O24" s="102" t="s">
        <v>12</v>
      </c>
      <c r="P24" s="102" t="s">
        <v>12</v>
      </c>
      <c r="Q24" s="102" t="s">
        <v>12</v>
      </c>
      <c r="R24" s="102"/>
      <c r="S24" s="102"/>
      <c r="T24" s="102"/>
      <c r="U24" s="102"/>
      <c r="V24" s="102">
        <v>1.0</v>
      </c>
      <c r="W24" s="102">
        <v>1.0</v>
      </c>
      <c r="X24" s="102">
        <v>1.0</v>
      </c>
      <c r="Y24" s="102"/>
      <c r="Z24" s="111"/>
      <c r="AA24" s="102"/>
      <c r="AB24" s="102"/>
      <c r="AC24" s="102">
        <v>3.0</v>
      </c>
      <c r="AD24" s="102">
        <v>3.0</v>
      </c>
      <c r="AE24" s="102">
        <v>3.0</v>
      </c>
      <c r="AF24" s="104">
        <f>COUNTIF(D24:AE24,"D")/3</f>
        <v>2</v>
      </c>
      <c r="AG24" s="104">
        <f>COUNTIF(D24:AE24,"D")/3</f>
        <v>2</v>
      </c>
      <c r="AH24" s="105"/>
      <c r="AI24" s="113"/>
      <c r="AJ24" s="106"/>
      <c r="AK24" s="107"/>
      <c r="AL24" s="102" t="s">
        <v>12</v>
      </c>
      <c r="AM24" s="102" t="s">
        <v>12</v>
      </c>
      <c r="AN24" s="102" t="s">
        <v>12</v>
      </c>
      <c r="AO24" s="102"/>
      <c r="AP24" s="102"/>
      <c r="AQ24" s="102"/>
      <c r="AR24" s="102"/>
      <c r="AS24" s="102">
        <v>1.0</v>
      </c>
      <c r="AT24" s="102">
        <v>1.0</v>
      </c>
      <c r="AU24" s="102">
        <v>1.0</v>
      </c>
      <c r="AV24" s="102"/>
      <c r="AW24" s="111"/>
      <c r="AX24" s="111"/>
      <c r="AY24" s="111"/>
      <c r="AZ24" s="102">
        <v>2.0</v>
      </c>
      <c r="BA24" s="102">
        <v>3.0</v>
      </c>
      <c r="BB24" s="102">
        <v>3.0</v>
      </c>
      <c r="BC24" s="102"/>
      <c r="BD24" s="111"/>
      <c r="BE24" s="102"/>
      <c r="BF24" s="102"/>
      <c r="BG24" s="102" t="s">
        <v>12</v>
      </c>
      <c r="BH24" s="102" t="s">
        <v>12</v>
      </c>
      <c r="BI24" s="102" t="s">
        <v>12</v>
      </c>
      <c r="BJ24" s="104">
        <f>COUNTIF(AH24:BI24,"D")/3</f>
        <v>2</v>
      </c>
      <c r="BK24" s="104">
        <f>COUNTIF(AH24:BI24,"D")/3</f>
        <v>2</v>
      </c>
      <c r="BL24" s="111"/>
      <c r="BM24" s="102"/>
      <c r="BN24" s="102"/>
      <c r="BO24" s="102"/>
      <c r="BP24" s="105">
        <v>3.0</v>
      </c>
      <c r="BQ24" s="102">
        <v>3.0</v>
      </c>
      <c r="BR24" s="102">
        <v>3.0</v>
      </c>
      <c r="BS24" s="102"/>
      <c r="BT24" s="102"/>
      <c r="BU24" s="102"/>
      <c r="BV24" s="102"/>
      <c r="BW24" s="102" t="s">
        <v>12</v>
      </c>
      <c r="BX24" s="102" t="s">
        <v>12</v>
      </c>
      <c r="BY24" s="102" t="s">
        <v>12</v>
      </c>
      <c r="BZ24" s="102"/>
      <c r="CA24" s="102"/>
      <c r="CB24" s="102"/>
      <c r="CC24" s="111"/>
      <c r="CD24" s="102" t="s">
        <v>12</v>
      </c>
      <c r="CE24" s="102" t="s">
        <v>12</v>
      </c>
      <c r="CF24" s="102" t="s">
        <v>12</v>
      </c>
      <c r="CG24" s="111"/>
      <c r="CH24" s="111"/>
      <c r="CI24" s="102"/>
      <c r="CJ24" s="102"/>
      <c r="CK24" s="156">
        <v>1.0</v>
      </c>
      <c r="CL24" s="156">
        <v>1.0</v>
      </c>
      <c r="CM24" s="156">
        <v>1.0</v>
      </c>
      <c r="CN24" s="111"/>
      <c r="CO24" s="111"/>
      <c r="CP24" s="111"/>
      <c r="CQ24" s="111"/>
      <c r="CR24" s="102" t="s">
        <v>12</v>
      </c>
      <c r="CS24" s="113" t="s">
        <v>12</v>
      </c>
      <c r="CT24" s="106" t="s">
        <v>12</v>
      </c>
      <c r="CU24" s="104">
        <f>COUNTIF(BL24:CT24,"D")/3</f>
        <v>3</v>
      </c>
      <c r="CV24" s="104">
        <f>COUNTIF(BL24:CT24,"D")/3</f>
        <v>3</v>
      </c>
      <c r="CW24" s="153"/>
      <c r="CX24" s="111"/>
      <c r="CY24" s="111"/>
      <c r="CZ24" s="111"/>
      <c r="DA24" s="102" t="s">
        <v>12</v>
      </c>
      <c r="DB24" s="102" t="s">
        <v>12</v>
      </c>
      <c r="DC24" s="102" t="s">
        <v>12</v>
      </c>
      <c r="DD24" s="102"/>
      <c r="DE24" s="102"/>
      <c r="DF24" s="102"/>
      <c r="DG24" s="110"/>
      <c r="DH24" s="102" t="s">
        <v>12</v>
      </c>
      <c r="DI24" s="102" t="s">
        <v>12</v>
      </c>
      <c r="DJ24" s="102" t="s">
        <v>12</v>
      </c>
      <c r="DK24" s="102"/>
      <c r="DL24" s="102"/>
      <c r="DM24" s="102"/>
      <c r="DN24" s="102"/>
      <c r="DO24" s="102">
        <v>2.0</v>
      </c>
      <c r="DP24" s="102">
        <v>2.0</v>
      </c>
      <c r="DQ24" s="102">
        <v>2.0</v>
      </c>
      <c r="DR24" s="102"/>
      <c r="DS24" s="102"/>
      <c r="DT24" s="111"/>
      <c r="DU24" s="111"/>
      <c r="DV24" s="102">
        <v>3.0</v>
      </c>
      <c r="DW24" s="102">
        <v>3.0</v>
      </c>
      <c r="DX24" s="102">
        <v>3.0</v>
      </c>
      <c r="DY24" s="104">
        <f>COUNTIF(CW24:DX24,"D")/3</f>
        <v>2</v>
      </c>
      <c r="DZ24" s="104">
        <f>COUNTIF(CW24:DX24,"D")/3</f>
        <v>2</v>
      </c>
      <c r="EA24" s="102"/>
      <c r="EB24" s="106"/>
      <c r="EC24" s="105"/>
      <c r="ED24" s="102"/>
      <c r="EE24" s="102">
        <v>2.0</v>
      </c>
      <c r="EF24" s="102">
        <v>2.0</v>
      </c>
      <c r="EG24" s="102">
        <v>2.0</v>
      </c>
      <c r="EH24" s="111"/>
      <c r="EI24" s="102"/>
      <c r="EJ24" s="102"/>
      <c r="EK24" s="102"/>
      <c r="EL24" s="102">
        <v>3.0</v>
      </c>
      <c r="EM24" s="102">
        <v>3.0</v>
      </c>
      <c r="EN24" s="102">
        <v>3.0</v>
      </c>
      <c r="EO24" s="102"/>
      <c r="EP24" s="102"/>
      <c r="EQ24" s="102"/>
      <c r="ER24" s="102"/>
      <c r="ES24" s="102" t="s">
        <v>12</v>
      </c>
      <c r="ET24" s="102" t="s">
        <v>12</v>
      </c>
      <c r="EU24" s="102" t="s">
        <v>12</v>
      </c>
      <c r="EV24" s="102"/>
      <c r="EW24" s="102"/>
      <c r="EX24" s="102"/>
      <c r="EY24" s="102"/>
      <c r="EZ24" s="102" t="s">
        <v>12</v>
      </c>
      <c r="FA24" s="102" t="s">
        <v>12</v>
      </c>
      <c r="FB24" s="102" t="s">
        <v>12</v>
      </c>
      <c r="FC24" s="104">
        <f>COUNTIF(EA24:FB24,"D")/3</f>
        <v>2</v>
      </c>
      <c r="FD24" s="104">
        <f>COUNTIF(EA24:FB24,"D")/3</f>
        <v>2</v>
      </c>
      <c r="FE24" s="102"/>
      <c r="FF24" s="102"/>
      <c r="FG24" s="102"/>
      <c r="FH24" s="113"/>
      <c r="FI24" s="106" t="s">
        <v>12</v>
      </c>
      <c r="FJ24" s="105">
        <v>3.0</v>
      </c>
      <c r="FK24" s="102">
        <v>3.0</v>
      </c>
      <c r="FL24" s="102"/>
      <c r="FM24" s="102"/>
      <c r="FN24" s="102"/>
      <c r="FO24" s="102"/>
      <c r="FP24" s="102">
        <v>2.0</v>
      </c>
      <c r="FQ24" s="102">
        <v>2.0</v>
      </c>
      <c r="FR24" s="102">
        <v>2.0</v>
      </c>
      <c r="FS24" s="102"/>
      <c r="FT24" s="102"/>
      <c r="FU24" s="102"/>
      <c r="FV24" s="102"/>
      <c r="FW24" s="102" t="s">
        <v>12</v>
      </c>
      <c r="FX24" s="102" t="s">
        <v>12</v>
      </c>
      <c r="FY24" s="102" t="s">
        <v>12</v>
      </c>
      <c r="FZ24" s="102"/>
      <c r="GA24" s="102"/>
      <c r="GB24" s="102"/>
      <c r="GC24" s="102"/>
      <c r="GD24" s="102" t="s">
        <v>12</v>
      </c>
      <c r="GE24" s="102" t="s">
        <v>12</v>
      </c>
      <c r="GF24" s="102" t="s">
        <v>12</v>
      </c>
      <c r="GG24" s="102"/>
      <c r="GH24" s="102"/>
      <c r="GI24" s="102"/>
      <c r="GJ24" s="102"/>
      <c r="GK24" s="102">
        <v>2.0</v>
      </c>
      <c r="GL24" s="102">
        <v>2.0</v>
      </c>
      <c r="GM24" s="113">
        <v>2.0</v>
      </c>
      <c r="GN24" s="104">
        <f>COUNTIF(FE24:GM24,"D")/3</f>
        <v>2.333333333</v>
      </c>
      <c r="GO24" s="104">
        <f>COUNTIF(FE24:GM24,"D")/3</f>
        <v>2.333333333</v>
      </c>
      <c r="GP24" s="105"/>
      <c r="GQ24" s="102"/>
      <c r="GR24" s="102"/>
      <c r="GS24" s="102"/>
      <c r="GT24" s="102">
        <v>2.0</v>
      </c>
      <c r="GU24" s="102">
        <v>2.0</v>
      </c>
      <c r="GV24" s="102">
        <v>2.0</v>
      </c>
      <c r="GW24" s="102"/>
      <c r="GX24" s="102"/>
      <c r="GY24" s="102"/>
      <c r="GZ24" s="102"/>
      <c r="HA24" s="102">
        <v>3.0</v>
      </c>
      <c r="HB24" s="102">
        <v>3.0</v>
      </c>
      <c r="HC24" s="102">
        <v>3.0</v>
      </c>
      <c r="HD24" s="102"/>
      <c r="HE24" s="102"/>
      <c r="HF24" s="102"/>
      <c r="HG24" s="102"/>
      <c r="HH24" s="102" t="s">
        <v>12</v>
      </c>
      <c r="HI24" s="102" t="s">
        <v>12</v>
      </c>
      <c r="HJ24" s="102" t="s">
        <v>12</v>
      </c>
      <c r="HK24" s="102"/>
      <c r="HL24" s="102"/>
      <c r="HM24" s="102"/>
      <c r="HN24" s="102"/>
      <c r="HO24" s="102" t="s">
        <v>12</v>
      </c>
      <c r="HP24" s="102" t="s">
        <v>12</v>
      </c>
      <c r="HQ24" s="102" t="s">
        <v>12</v>
      </c>
      <c r="HR24" s="104">
        <f>COUNTIF(GP24:HQ24,"D")/3</f>
        <v>2</v>
      </c>
      <c r="HS24" s="104">
        <f>COUNTIF(GP24:HQ24,"D")/3</f>
        <v>2</v>
      </c>
      <c r="HT24" s="102"/>
      <c r="HU24" s="113"/>
      <c r="HV24" s="106"/>
      <c r="HW24" s="105"/>
      <c r="HX24" s="102">
        <v>2.0</v>
      </c>
      <c r="HY24" s="102">
        <v>2.0</v>
      </c>
      <c r="HZ24" s="102">
        <v>2.0</v>
      </c>
      <c r="IA24" s="102"/>
      <c r="IB24" s="102"/>
      <c r="IC24" s="102"/>
      <c r="ID24" s="102"/>
      <c r="IE24" s="102" t="s">
        <v>12</v>
      </c>
      <c r="IF24" s="102" t="s">
        <v>12</v>
      </c>
      <c r="IG24" s="102" t="s">
        <v>12</v>
      </c>
      <c r="IH24" s="102"/>
      <c r="II24" s="102"/>
      <c r="IJ24" s="102"/>
      <c r="IK24" s="102"/>
      <c r="IL24" s="102" t="s">
        <v>12</v>
      </c>
      <c r="IM24" s="102" t="s">
        <v>12</v>
      </c>
      <c r="IN24" s="102" t="s">
        <v>12</v>
      </c>
      <c r="IO24" s="102"/>
      <c r="IP24" s="102"/>
      <c r="IQ24" s="102"/>
      <c r="IR24" s="102"/>
      <c r="IS24" s="102" t="s">
        <v>12</v>
      </c>
      <c r="IT24" s="102" t="s">
        <v>12</v>
      </c>
      <c r="IU24" s="102" t="s">
        <v>12</v>
      </c>
      <c r="IV24" s="104">
        <f>COUNTIF(HT24:IU24,"D")/3</f>
        <v>3</v>
      </c>
      <c r="IW24" s="104">
        <f>COUNTIF(HT24:IU24,"D")/3</f>
        <v>3</v>
      </c>
      <c r="IX24" s="102"/>
      <c r="IY24" s="102"/>
      <c r="IZ24" s="102"/>
      <c r="JA24" s="102"/>
      <c r="JB24" s="113" t="s">
        <v>12</v>
      </c>
      <c r="JC24" s="106" t="s">
        <v>12</v>
      </c>
      <c r="JD24" s="105" t="s">
        <v>12</v>
      </c>
      <c r="JE24" s="102"/>
      <c r="JF24" s="102"/>
      <c r="JG24" s="102"/>
      <c r="JH24" s="102"/>
      <c r="JI24" s="102">
        <v>2.0</v>
      </c>
      <c r="JJ24" s="102">
        <v>2.0</v>
      </c>
      <c r="JK24" s="102">
        <v>2.0</v>
      </c>
      <c r="JL24" s="102"/>
      <c r="JM24" s="102"/>
      <c r="JN24" s="102"/>
      <c r="JO24" s="102"/>
      <c r="JP24" s="102">
        <v>3.0</v>
      </c>
      <c r="JQ24" s="102">
        <v>3.0</v>
      </c>
      <c r="JR24" s="102">
        <v>3.0</v>
      </c>
      <c r="JS24" s="102"/>
      <c r="JT24" s="102"/>
      <c r="JU24" s="102"/>
      <c r="JV24" s="102"/>
      <c r="JW24" s="102" t="s">
        <v>12</v>
      </c>
      <c r="JX24" s="102" t="s">
        <v>12</v>
      </c>
      <c r="JY24" s="102" t="s">
        <v>12</v>
      </c>
      <c r="JZ24" s="102"/>
      <c r="KA24" s="102"/>
      <c r="KB24" s="102"/>
      <c r="KC24" s="102"/>
      <c r="KD24" s="102" t="s">
        <v>12</v>
      </c>
      <c r="KE24" s="102" t="s">
        <v>12</v>
      </c>
      <c r="KF24" s="102" t="s">
        <v>12</v>
      </c>
      <c r="KG24" s="104">
        <f>COUNTIF(IX24:KF24,"D")/3</f>
        <v>3</v>
      </c>
      <c r="KH24" s="104">
        <f>COUNTIF(IX24:KF24,"D")/3</f>
        <v>3</v>
      </c>
      <c r="KI24" s="113"/>
      <c r="KJ24" s="105"/>
      <c r="KK24" s="102"/>
      <c r="KL24" s="102"/>
      <c r="KM24" s="102" t="s">
        <v>12</v>
      </c>
      <c r="KN24" s="102" t="s">
        <v>12</v>
      </c>
      <c r="KO24" s="102" t="s">
        <v>12</v>
      </c>
      <c r="KP24" s="102"/>
      <c r="KQ24" s="102"/>
      <c r="KR24" s="102"/>
      <c r="KS24" s="102"/>
      <c r="KT24" s="102">
        <v>2.0</v>
      </c>
      <c r="KU24" s="102">
        <v>2.0</v>
      </c>
      <c r="KV24" s="102">
        <v>2.0</v>
      </c>
      <c r="KW24" s="102"/>
      <c r="KX24" s="102"/>
      <c r="KY24" s="102"/>
      <c r="KZ24" s="102"/>
      <c r="LA24" s="102">
        <v>3.0</v>
      </c>
      <c r="LB24" s="102">
        <v>3.0</v>
      </c>
      <c r="LC24" s="102">
        <v>3.0</v>
      </c>
      <c r="LD24" s="102"/>
      <c r="LE24" s="102"/>
      <c r="LF24" s="102"/>
      <c r="LG24" s="102"/>
      <c r="LH24" s="102" t="s">
        <v>12</v>
      </c>
      <c r="LI24" s="102" t="s">
        <v>12</v>
      </c>
      <c r="LJ24" s="102" t="s">
        <v>12</v>
      </c>
      <c r="LK24" s="104">
        <f>COUNTIF(KI24:LJ24,"D")/3</f>
        <v>2</v>
      </c>
      <c r="LL24" s="104">
        <f>COUNTIF(KI24:LJ24,"D")/3</f>
        <v>2</v>
      </c>
      <c r="LM24" s="102"/>
      <c r="LN24" s="102"/>
      <c r="LO24" s="113"/>
      <c r="LP24" s="106"/>
      <c r="LQ24" s="102">
        <v>3.0</v>
      </c>
      <c r="LR24" s="102">
        <v>3.0</v>
      </c>
      <c r="LS24" s="102">
        <v>3.0</v>
      </c>
      <c r="LT24" s="102"/>
      <c r="LU24" s="102"/>
      <c r="LV24" s="102"/>
      <c r="LW24" s="102"/>
      <c r="LX24" s="102" t="s">
        <v>12</v>
      </c>
      <c r="LY24" s="102" t="s">
        <v>12</v>
      </c>
      <c r="LZ24" s="102" t="s">
        <v>12</v>
      </c>
      <c r="MA24" s="102"/>
      <c r="MB24" s="102"/>
      <c r="MC24" s="102"/>
      <c r="MD24" s="102"/>
      <c r="ME24" s="102" t="s">
        <v>12</v>
      </c>
      <c r="MF24" s="102" t="s">
        <v>12</v>
      </c>
      <c r="MG24" s="102" t="s">
        <v>12</v>
      </c>
      <c r="MH24" s="102"/>
      <c r="MI24" s="102"/>
      <c r="MJ24" s="102"/>
      <c r="MK24" s="102"/>
      <c r="ML24" s="102">
        <v>2.0</v>
      </c>
      <c r="MM24" s="102">
        <v>2.0</v>
      </c>
      <c r="MN24" s="102">
        <v>2.0</v>
      </c>
      <c r="MO24" s="104">
        <f>COUNTIF(LM24:MN24,"D")/3</f>
        <v>2</v>
      </c>
      <c r="MP24" s="104">
        <f>COUNTIF(LM24:MN24,"D")/3</f>
        <v>2</v>
      </c>
      <c r="MQ24" s="102"/>
      <c r="MR24" s="102"/>
      <c r="MS24" s="102"/>
      <c r="MT24" s="102"/>
      <c r="MU24" s="102" t="s">
        <v>12</v>
      </c>
      <c r="MV24" s="113" t="s">
        <v>12</v>
      </c>
      <c r="MW24" s="105" t="s">
        <v>12</v>
      </c>
      <c r="MX24" s="102"/>
      <c r="MY24" s="102"/>
      <c r="MZ24" s="102"/>
      <c r="NA24" s="102"/>
      <c r="NB24" s="102" t="s">
        <v>12</v>
      </c>
      <c r="NC24" s="102" t="s">
        <v>12</v>
      </c>
      <c r="ND24" s="102" t="s">
        <v>12</v>
      </c>
      <c r="NE24" s="102"/>
      <c r="NF24" s="102"/>
      <c r="NG24" s="102"/>
      <c r="NH24" s="102"/>
      <c r="NI24" s="102" t="s">
        <v>12</v>
      </c>
      <c r="NJ24" s="102" t="s">
        <v>12</v>
      </c>
      <c r="NK24" s="102" t="s">
        <v>12</v>
      </c>
      <c r="NL24" s="102"/>
      <c r="NM24" s="102"/>
      <c r="NN24" s="102"/>
      <c r="NO24" s="102"/>
      <c r="NP24" s="102"/>
      <c r="NQ24" s="102"/>
      <c r="NR24" s="102"/>
      <c r="NS24" s="102"/>
      <c r="NT24" s="102"/>
      <c r="NU24" s="102"/>
      <c r="NV24" s="102"/>
      <c r="NW24" s="102"/>
      <c r="NX24" s="102"/>
      <c r="NY24" s="102"/>
      <c r="NZ24" s="104">
        <f>COUNTIF(MQ24:NY24,"D")/3</f>
        <v>3</v>
      </c>
      <c r="OA24" s="104">
        <f>COUNTIF(MQ24:NY24,"D")/3</f>
        <v>3</v>
      </c>
      <c r="OB24" s="113"/>
      <c r="OC24" s="106"/>
      <c r="OD24" s="104">
        <f t="shared" ref="OD24:OE24" si="10">SUM(AF24,BJ24,CU24,DY24,FC24,GN24,HR24,IV24,KG24,LK24,MO24,NZ24)</f>
        <v>28.33333333</v>
      </c>
      <c r="OE24" s="104">
        <f t="shared" si="10"/>
        <v>28.33333333</v>
      </c>
    </row>
    <row r="25" ht="26.25" customHeight="1">
      <c r="A25" s="73"/>
      <c r="B25" s="74"/>
      <c r="C25" s="114"/>
      <c r="D25" s="143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8"/>
      <c r="AG25" s="138"/>
      <c r="AH25" s="143"/>
      <c r="AI25" s="140"/>
      <c r="AJ25" s="141"/>
      <c r="AK25" s="142"/>
      <c r="AL25" s="136"/>
      <c r="AM25" s="116"/>
      <c r="AN25" s="136"/>
      <c r="AO25" s="136"/>
      <c r="AP25" s="136"/>
      <c r="AQ25" s="136"/>
      <c r="AR25" s="136"/>
      <c r="AS25" s="136"/>
      <c r="AT25" s="136"/>
      <c r="AU25" s="136"/>
      <c r="AV25" s="136"/>
      <c r="AW25" s="116"/>
      <c r="AX25" s="136"/>
      <c r="AY25" s="116"/>
      <c r="AZ25" s="136"/>
      <c r="BA25" s="136"/>
      <c r="BB25" s="136"/>
      <c r="BC25" s="136"/>
      <c r="BD25" s="116"/>
      <c r="BE25" s="136"/>
      <c r="BF25" s="136"/>
      <c r="BG25" s="136"/>
      <c r="BH25" s="136"/>
      <c r="BI25" s="136"/>
      <c r="BJ25" s="138"/>
      <c r="BK25" s="138"/>
      <c r="BL25" s="116"/>
      <c r="BM25" s="136"/>
      <c r="BN25" s="136"/>
      <c r="BO25" s="116"/>
      <c r="BP25" s="143"/>
      <c r="BQ25" s="116"/>
      <c r="BR25" s="136"/>
      <c r="BS25" s="136"/>
      <c r="BT25" s="136"/>
      <c r="BU25" s="136"/>
      <c r="BV25" s="136"/>
      <c r="BW25" s="136"/>
      <c r="BX25" s="136"/>
      <c r="BY25" s="136"/>
      <c r="BZ25" s="136"/>
      <c r="CA25" s="136"/>
      <c r="CB25" s="136"/>
      <c r="CC25" s="116"/>
      <c r="CD25" s="136"/>
      <c r="CE25" s="116"/>
      <c r="CF25" s="169"/>
      <c r="CG25" s="116"/>
      <c r="CH25" s="116"/>
      <c r="CI25" s="136"/>
      <c r="CJ25" s="136"/>
      <c r="CK25" s="136"/>
      <c r="CL25" s="169"/>
      <c r="CM25" s="116"/>
      <c r="CN25" s="136"/>
      <c r="CO25" s="136"/>
      <c r="CP25" s="116"/>
      <c r="CQ25" s="136"/>
      <c r="CR25" s="136"/>
      <c r="CS25" s="140"/>
      <c r="CT25" s="141"/>
      <c r="CU25" s="138"/>
      <c r="CV25" s="138"/>
      <c r="CW25" s="143"/>
      <c r="CX25" s="136"/>
      <c r="CY25" s="136"/>
      <c r="CZ25" s="136"/>
      <c r="DA25" s="136"/>
      <c r="DB25" s="136"/>
      <c r="DC25" s="136"/>
      <c r="DD25" s="136"/>
      <c r="DE25" s="136"/>
      <c r="DF25" s="136"/>
      <c r="DG25" s="136"/>
      <c r="DH25" s="116">
        <v>1.0</v>
      </c>
      <c r="DI25" s="116"/>
      <c r="DJ25" s="116"/>
      <c r="DK25" s="136"/>
      <c r="DL25" s="136"/>
      <c r="DM25" s="136"/>
      <c r="DN25" s="136"/>
      <c r="DO25" s="116"/>
      <c r="DP25" s="116"/>
      <c r="DQ25" s="116"/>
      <c r="DR25" s="136"/>
      <c r="DS25" s="136"/>
      <c r="DT25" s="136"/>
      <c r="DU25" s="136"/>
      <c r="DV25" s="136"/>
      <c r="DW25" s="136"/>
      <c r="DX25" s="136"/>
      <c r="DY25" s="138"/>
      <c r="DZ25" s="138"/>
      <c r="EA25" s="136"/>
      <c r="EB25" s="141"/>
      <c r="EC25" s="115"/>
      <c r="ED25" s="116"/>
      <c r="EE25" s="116"/>
      <c r="EF25" s="116"/>
      <c r="EG25" s="116"/>
      <c r="EH25" s="150"/>
      <c r="EI25" s="116"/>
      <c r="EJ25" s="116"/>
      <c r="EK25" s="116"/>
      <c r="EL25" s="116"/>
      <c r="EM25" s="116"/>
      <c r="EN25" s="116"/>
      <c r="EO25" s="116"/>
      <c r="EP25" s="150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38"/>
      <c r="FD25" s="138"/>
      <c r="FE25" s="116"/>
      <c r="FF25" s="116"/>
      <c r="FG25" s="116"/>
      <c r="FH25" s="120"/>
      <c r="FI25" s="118"/>
      <c r="FJ25" s="143"/>
      <c r="FK25" s="136"/>
      <c r="FL25" s="136"/>
      <c r="FM25" s="136"/>
      <c r="FN25" s="136"/>
      <c r="FO25" s="136"/>
      <c r="FP25" s="136"/>
      <c r="FQ25" s="136"/>
      <c r="FR25" s="136"/>
      <c r="FS25" s="136"/>
      <c r="FT25" s="136"/>
      <c r="FU25" s="136"/>
      <c r="FV25" s="136"/>
      <c r="FW25" s="137"/>
      <c r="FX25" s="136"/>
      <c r="FY25" s="136"/>
      <c r="FZ25" s="136"/>
      <c r="GA25" s="136"/>
      <c r="GB25" s="136"/>
      <c r="GC25" s="136"/>
      <c r="GD25" s="136"/>
      <c r="GE25" s="136"/>
      <c r="GF25" s="136"/>
      <c r="GG25" s="136"/>
      <c r="GH25" s="136"/>
      <c r="GI25" s="136"/>
      <c r="GJ25" s="136"/>
      <c r="GK25" s="136"/>
      <c r="GL25" s="136"/>
      <c r="GM25" s="140"/>
      <c r="GN25" s="138"/>
      <c r="GO25" s="138"/>
      <c r="GP25" s="143"/>
      <c r="GQ25" s="136"/>
      <c r="GR25" s="136"/>
      <c r="GS25" s="136"/>
      <c r="GT25" s="136"/>
      <c r="GU25" s="136"/>
      <c r="GV25" s="136"/>
      <c r="GW25" s="136"/>
      <c r="GX25" s="136"/>
      <c r="GY25" s="136"/>
      <c r="GZ25" s="136"/>
      <c r="HA25" s="136"/>
      <c r="HB25" s="136"/>
      <c r="HC25" s="137"/>
      <c r="HD25" s="136"/>
      <c r="HE25" s="136"/>
      <c r="HF25" s="136"/>
      <c r="HG25" s="136"/>
      <c r="HH25" s="136"/>
      <c r="HI25" s="136"/>
      <c r="HJ25" s="136"/>
      <c r="HK25" s="136"/>
      <c r="HL25" s="136"/>
      <c r="HM25" s="136"/>
      <c r="HN25" s="136"/>
      <c r="HO25" s="136"/>
      <c r="HP25" s="136"/>
      <c r="HQ25" s="136"/>
      <c r="HR25" s="138"/>
      <c r="HS25" s="138"/>
      <c r="HT25" s="136"/>
      <c r="HU25" s="140"/>
      <c r="HV25" s="141"/>
      <c r="HW25" s="143"/>
      <c r="HX25" s="136"/>
      <c r="HY25" s="136"/>
      <c r="HZ25" s="136"/>
      <c r="IA25" s="136"/>
      <c r="IB25" s="136"/>
      <c r="IC25" s="136"/>
      <c r="ID25" s="136"/>
      <c r="IE25" s="136"/>
      <c r="IF25" s="136"/>
      <c r="IG25" s="136"/>
      <c r="IH25" s="136"/>
      <c r="II25" s="136"/>
      <c r="IJ25" s="137"/>
      <c r="IK25" s="136"/>
      <c r="IL25" s="136"/>
      <c r="IM25" s="136"/>
      <c r="IN25" s="136"/>
      <c r="IO25" s="136"/>
      <c r="IP25" s="136"/>
      <c r="IQ25" s="136"/>
      <c r="IR25" s="136"/>
      <c r="IS25" s="136"/>
      <c r="IT25" s="136"/>
      <c r="IU25" s="136"/>
      <c r="IV25" s="138"/>
      <c r="IW25" s="138"/>
      <c r="IX25" s="136"/>
      <c r="IY25" s="136"/>
      <c r="IZ25" s="136"/>
      <c r="JA25" s="136"/>
      <c r="JB25" s="140"/>
      <c r="JC25" s="141"/>
      <c r="JD25" s="143">
        <v>1.0</v>
      </c>
      <c r="JE25" s="136"/>
      <c r="JF25" s="136"/>
      <c r="JG25" s="136"/>
      <c r="JH25" s="136"/>
      <c r="JI25" s="136"/>
      <c r="JJ25" s="136"/>
      <c r="JK25" s="136"/>
      <c r="JL25" s="136"/>
      <c r="JM25" s="136"/>
      <c r="JN25" s="136"/>
      <c r="JO25" s="136"/>
      <c r="JP25" s="136"/>
      <c r="JQ25" s="137"/>
      <c r="JR25" s="136"/>
      <c r="JS25" s="136"/>
      <c r="JT25" s="136"/>
      <c r="JU25" s="136"/>
      <c r="JV25" s="136"/>
      <c r="JW25" s="136"/>
      <c r="JX25" s="136"/>
      <c r="JY25" s="136"/>
      <c r="JZ25" s="136"/>
      <c r="KA25" s="136"/>
      <c r="KB25" s="136"/>
      <c r="KC25" s="136"/>
      <c r="KD25" s="136"/>
      <c r="KE25" s="136"/>
      <c r="KF25" s="136"/>
      <c r="KG25" s="138"/>
      <c r="KH25" s="138"/>
      <c r="KI25" s="140"/>
      <c r="KJ25" s="143"/>
      <c r="KK25" s="136"/>
      <c r="KL25" s="136"/>
      <c r="KM25" s="136"/>
      <c r="KN25" s="136"/>
      <c r="KO25" s="136"/>
      <c r="KP25" s="136"/>
      <c r="KQ25" s="136"/>
      <c r="KR25" s="136"/>
      <c r="KS25" s="136"/>
      <c r="KT25" s="136"/>
      <c r="KU25" s="136"/>
      <c r="KV25" s="136"/>
      <c r="KW25" s="137"/>
      <c r="KX25" s="136"/>
      <c r="KY25" s="136"/>
      <c r="KZ25" s="136"/>
      <c r="LA25" s="136"/>
      <c r="LB25" s="136"/>
      <c r="LC25" s="136"/>
      <c r="LD25" s="136"/>
      <c r="LE25" s="136"/>
      <c r="LF25" s="136"/>
      <c r="LG25" s="136"/>
      <c r="LH25" s="136"/>
      <c r="LI25" s="136"/>
      <c r="LJ25" s="136"/>
      <c r="LK25" s="138"/>
      <c r="LL25" s="138"/>
      <c r="LM25" s="136"/>
      <c r="LN25" s="136"/>
      <c r="LO25" s="140"/>
      <c r="LP25" s="141"/>
      <c r="LQ25" s="136"/>
      <c r="LR25" s="136"/>
      <c r="LS25" s="136"/>
      <c r="LT25" s="136"/>
      <c r="LU25" s="136"/>
      <c r="LV25" s="136"/>
      <c r="LW25" s="136"/>
      <c r="LX25" s="136"/>
      <c r="LY25" s="136"/>
      <c r="LZ25" s="136"/>
      <c r="MA25" s="136"/>
      <c r="MB25" s="136"/>
      <c r="MC25" s="136"/>
      <c r="MD25" s="137"/>
      <c r="ME25" s="136"/>
      <c r="MF25" s="136"/>
      <c r="MG25" s="136"/>
      <c r="MH25" s="136"/>
      <c r="MI25" s="136"/>
      <c r="MJ25" s="136"/>
      <c r="MK25" s="136"/>
      <c r="ML25" s="136"/>
      <c r="MM25" s="136"/>
      <c r="MN25" s="136"/>
      <c r="MO25" s="138"/>
      <c r="MP25" s="138"/>
      <c r="MQ25" s="136"/>
      <c r="MR25" s="136"/>
      <c r="MS25" s="136"/>
      <c r="MT25" s="136"/>
      <c r="MU25" s="136"/>
      <c r="MV25" s="140"/>
      <c r="MW25" s="143"/>
      <c r="MX25" s="136"/>
      <c r="MY25" s="136"/>
      <c r="MZ25" s="136"/>
      <c r="NA25" s="136"/>
      <c r="NB25" s="136"/>
      <c r="NC25" s="136"/>
      <c r="ND25" s="136"/>
      <c r="NE25" s="136"/>
      <c r="NF25" s="136"/>
      <c r="NG25" s="136"/>
      <c r="NH25" s="136"/>
      <c r="NI25" s="136"/>
      <c r="NJ25" s="137"/>
      <c r="NK25" s="136"/>
      <c r="NL25" s="136"/>
      <c r="NM25" s="136"/>
      <c r="NN25" s="136"/>
      <c r="NO25" s="136"/>
      <c r="NP25" s="136"/>
      <c r="NQ25" s="136"/>
      <c r="NR25" s="136"/>
      <c r="NS25" s="136"/>
      <c r="NT25" s="136"/>
      <c r="NU25" s="136"/>
      <c r="NV25" s="136"/>
      <c r="NW25" s="136"/>
      <c r="NX25" s="136"/>
      <c r="NY25" s="136"/>
      <c r="NZ25" s="138"/>
      <c r="OA25" s="138"/>
      <c r="OB25" s="140"/>
      <c r="OC25" s="141"/>
      <c r="OD25" s="138"/>
      <c r="OE25" s="138"/>
    </row>
    <row r="26" ht="26.25" customHeight="1">
      <c r="A26" s="121" t="s">
        <v>80</v>
      </c>
      <c r="B26" s="122" t="s">
        <v>72</v>
      </c>
      <c r="C26" s="123" t="s">
        <v>29</v>
      </c>
      <c r="D26" s="111"/>
      <c r="E26" s="102"/>
      <c r="F26" s="102"/>
      <c r="G26" s="102"/>
      <c r="H26" s="102">
        <v>1.0</v>
      </c>
      <c r="I26" s="102">
        <v>1.0</v>
      </c>
      <c r="J26" s="102">
        <v>1.0</v>
      </c>
      <c r="K26" s="102"/>
      <c r="L26" s="102"/>
      <c r="M26" s="102"/>
      <c r="N26" s="111"/>
      <c r="O26" s="102" t="s">
        <v>12</v>
      </c>
      <c r="P26" s="102" t="s">
        <v>12</v>
      </c>
      <c r="Q26" s="102" t="s">
        <v>12</v>
      </c>
      <c r="R26" s="102"/>
      <c r="S26" s="102"/>
      <c r="T26" s="102"/>
      <c r="U26" s="102"/>
      <c r="V26" s="102" t="s">
        <v>12</v>
      </c>
      <c r="W26" s="102" t="s">
        <v>12</v>
      </c>
      <c r="X26" s="102" t="s">
        <v>12</v>
      </c>
      <c r="Y26" s="102"/>
      <c r="Z26" s="102"/>
      <c r="AA26" s="102"/>
      <c r="AB26" s="102"/>
      <c r="AC26" s="102">
        <v>3.0</v>
      </c>
      <c r="AD26" s="102">
        <v>3.0</v>
      </c>
      <c r="AE26" s="102"/>
      <c r="AF26" s="104">
        <f>COUNTIF(D26:AE26,"D")/3</f>
        <v>2</v>
      </c>
      <c r="AG26" s="104">
        <f>COUNTIF(D26:AE26,"D")/3</f>
        <v>2</v>
      </c>
      <c r="AH26" s="105"/>
      <c r="AI26" s="113"/>
      <c r="AJ26" s="106"/>
      <c r="AK26" s="107"/>
      <c r="AL26" s="102">
        <v>3.0</v>
      </c>
      <c r="AM26" s="102">
        <v>3.0</v>
      </c>
      <c r="AN26" s="102">
        <v>3.0</v>
      </c>
      <c r="AO26" s="102"/>
      <c r="AP26" s="102"/>
      <c r="AQ26" s="102"/>
      <c r="AR26" s="102"/>
      <c r="AS26" s="102" t="s">
        <v>12</v>
      </c>
      <c r="AT26" s="102" t="s">
        <v>12</v>
      </c>
      <c r="AU26" s="102" t="s">
        <v>12</v>
      </c>
      <c r="AV26" s="102"/>
      <c r="AW26" s="111"/>
      <c r="AX26" s="102"/>
      <c r="AY26" s="102"/>
      <c r="AZ26" s="102">
        <v>1.0</v>
      </c>
      <c r="BA26" s="102">
        <v>1.0</v>
      </c>
      <c r="BB26" s="102">
        <v>1.0</v>
      </c>
      <c r="BC26" s="102"/>
      <c r="BD26" s="102"/>
      <c r="BE26" s="102"/>
      <c r="BF26" s="102"/>
      <c r="BG26" s="102" t="s">
        <v>12</v>
      </c>
      <c r="BH26" s="102" t="s">
        <v>12</v>
      </c>
      <c r="BI26" s="102" t="s">
        <v>12</v>
      </c>
      <c r="BJ26" s="104">
        <f>COUNTIF(AH26:BI26,"D")/3</f>
        <v>2</v>
      </c>
      <c r="BK26" s="104">
        <f>COUNTIF(AH26:BI26,"D")/3</f>
        <v>2</v>
      </c>
      <c r="BL26" s="111"/>
      <c r="BM26" s="111"/>
      <c r="BN26" s="102"/>
      <c r="BO26" s="102"/>
      <c r="BP26" s="105" t="s">
        <v>12</v>
      </c>
      <c r="BQ26" s="102" t="s">
        <v>12</v>
      </c>
      <c r="BR26" s="102" t="s">
        <v>12</v>
      </c>
      <c r="BS26" s="111"/>
      <c r="BT26" s="102"/>
      <c r="BU26" s="102"/>
      <c r="BV26" s="102"/>
      <c r="BW26" s="102">
        <v>3.0</v>
      </c>
      <c r="BX26" s="102">
        <v>3.0</v>
      </c>
      <c r="BY26" s="102">
        <v>3.0</v>
      </c>
      <c r="BZ26" s="102"/>
      <c r="CA26" s="102"/>
      <c r="CB26" s="102"/>
      <c r="CC26" s="111"/>
      <c r="CD26" s="102" t="s">
        <v>12</v>
      </c>
      <c r="CE26" s="102" t="s">
        <v>12</v>
      </c>
      <c r="CF26" s="102" t="s">
        <v>12</v>
      </c>
      <c r="CG26" s="111"/>
      <c r="CH26" s="102"/>
      <c r="CI26" s="102"/>
      <c r="CJ26" s="102"/>
      <c r="CK26" s="102">
        <v>2.0</v>
      </c>
      <c r="CL26" s="102">
        <v>2.0</v>
      </c>
      <c r="CM26" s="102">
        <v>2.0</v>
      </c>
      <c r="CN26" s="102"/>
      <c r="CO26" s="102"/>
      <c r="CP26" s="102"/>
      <c r="CQ26" s="102"/>
      <c r="CR26" s="102" t="s">
        <v>12</v>
      </c>
      <c r="CS26" s="102" t="s">
        <v>12</v>
      </c>
      <c r="CT26" s="106" t="s">
        <v>12</v>
      </c>
      <c r="CU26" s="104">
        <f>COUNTIF(BL26:CT26,"D")/3</f>
        <v>3</v>
      </c>
      <c r="CV26" s="104">
        <f>COUNTIF(BL26:CT26,"D")/3</f>
        <v>3</v>
      </c>
      <c r="CW26" s="105"/>
      <c r="CX26" s="102"/>
      <c r="CY26" s="110"/>
      <c r="CZ26" s="102"/>
      <c r="DA26" s="102" t="s">
        <v>12</v>
      </c>
      <c r="DB26" s="102" t="s">
        <v>12</v>
      </c>
      <c r="DC26" s="102" t="s">
        <v>12</v>
      </c>
      <c r="DD26" s="102"/>
      <c r="DE26" s="102"/>
      <c r="DF26" s="102"/>
      <c r="DG26" s="102"/>
      <c r="DH26" s="102">
        <v>2.0</v>
      </c>
      <c r="DI26" s="102">
        <v>2.0</v>
      </c>
      <c r="DJ26" s="102">
        <v>2.0</v>
      </c>
      <c r="DK26" s="102"/>
      <c r="DL26" s="102"/>
      <c r="DM26" s="102"/>
      <c r="DN26" s="102"/>
      <c r="DO26" s="102">
        <v>1.0</v>
      </c>
      <c r="DP26" s="102">
        <v>3.0</v>
      </c>
      <c r="DQ26" s="102">
        <v>3.0</v>
      </c>
      <c r="DR26" s="102"/>
      <c r="DS26" s="102"/>
      <c r="DT26" s="102"/>
      <c r="DU26" s="111"/>
      <c r="DV26" s="102" t="s">
        <v>12</v>
      </c>
      <c r="DW26" s="102" t="s">
        <v>12</v>
      </c>
      <c r="DX26" s="102" t="s">
        <v>12</v>
      </c>
      <c r="DY26" s="104">
        <f>COUNTIF(CW26:DX26,"D")/3</f>
        <v>2</v>
      </c>
      <c r="DZ26" s="104">
        <f>COUNTIF(CW26:DX26,"D")/3</f>
        <v>2</v>
      </c>
      <c r="EA26" s="102"/>
      <c r="EB26" s="106"/>
      <c r="EC26" s="105"/>
      <c r="ED26" s="102"/>
      <c r="EE26" s="102" t="s">
        <v>12</v>
      </c>
      <c r="EF26" s="102" t="s">
        <v>12</v>
      </c>
      <c r="EG26" s="102" t="s">
        <v>12</v>
      </c>
      <c r="EH26" s="102"/>
      <c r="EI26" s="111"/>
      <c r="EJ26" s="102"/>
      <c r="EK26" s="102"/>
      <c r="EL26" s="102" t="s">
        <v>12</v>
      </c>
      <c r="EM26" s="102" t="s">
        <v>12</v>
      </c>
      <c r="EN26" s="102" t="s">
        <v>12</v>
      </c>
      <c r="EO26" s="102"/>
      <c r="EP26" s="102"/>
      <c r="EQ26" s="102"/>
      <c r="ER26" s="102"/>
      <c r="ES26" s="102">
        <v>3.0</v>
      </c>
      <c r="ET26" s="102">
        <v>3.0</v>
      </c>
      <c r="EU26" s="102">
        <v>3.0</v>
      </c>
      <c r="EV26" s="102"/>
      <c r="EW26" s="102"/>
      <c r="EX26" s="102"/>
      <c r="EY26" s="102"/>
      <c r="EZ26" s="102">
        <v>2.0</v>
      </c>
      <c r="FA26" s="102">
        <v>2.0</v>
      </c>
      <c r="FB26" s="102">
        <v>2.0</v>
      </c>
      <c r="FC26" s="104">
        <f>COUNTIF(EA26:FB26,"D")/3</f>
        <v>2</v>
      </c>
      <c r="FD26" s="104">
        <f>COUNTIF(EA26:FB26,"D")/3</f>
        <v>2</v>
      </c>
      <c r="FE26" s="102"/>
      <c r="FF26" s="102"/>
      <c r="FG26" s="102"/>
      <c r="FH26" s="102"/>
      <c r="FI26" s="106">
        <v>3.0</v>
      </c>
      <c r="FJ26" s="105">
        <v>3.0</v>
      </c>
      <c r="FK26" s="102">
        <v>3.0</v>
      </c>
      <c r="FL26" s="102"/>
      <c r="FM26" s="102"/>
      <c r="FN26" s="102"/>
      <c r="FO26" s="102"/>
      <c r="FP26" s="102" t="s">
        <v>12</v>
      </c>
      <c r="FQ26" s="102" t="s">
        <v>12</v>
      </c>
      <c r="FR26" s="102" t="s">
        <v>12</v>
      </c>
      <c r="FS26" s="102"/>
      <c r="FT26" s="102"/>
      <c r="FU26" s="102"/>
      <c r="FV26" s="102"/>
      <c r="FW26" s="102">
        <v>1.0</v>
      </c>
      <c r="FX26" s="102">
        <v>1.0</v>
      </c>
      <c r="FY26" s="102">
        <v>1.0</v>
      </c>
      <c r="FZ26" s="102"/>
      <c r="GA26" s="102"/>
      <c r="GB26" s="102"/>
      <c r="GC26" s="102"/>
      <c r="GD26" s="102" t="s">
        <v>12</v>
      </c>
      <c r="GE26" s="102" t="s">
        <v>12</v>
      </c>
      <c r="GF26" s="102" t="s">
        <v>12</v>
      </c>
      <c r="GG26" s="102"/>
      <c r="GH26" s="102"/>
      <c r="GI26" s="102"/>
      <c r="GJ26" s="102"/>
      <c r="GK26" s="102">
        <v>3.0</v>
      </c>
      <c r="GL26" s="102">
        <v>3.0</v>
      </c>
      <c r="GM26" s="102">
        <v>3.0</v>
      </c>
      <c r="GN26" s="104">
        <f>COUNTIF(FE26:GM26,"D")/3</f>
        <v>2</v>
      </c>
      <c r="GO26" s="104">
        <f>COUNTIF(FE26:GM26,"D")/3</f>
        <v>2</v>
      </c>
      <c r="GP26" s="105"/>
      <c r="GQ26" s="102"/>
      <c r="GR26" s="102"/>
      <c r="GS26" s="102"/>
      <c r="GT26" s="102" t="s">
        <v>12</v>
      </c>
      <c r="GU26" s="102" t="s">
        <v>12</v>
      </c>
      <c r="GV26" s="102" t="s">
        <v>12</v>
      </c>
      <c r="GW26" s="102"/>
      <c r="GX26" s="102"/>
      <c r="GY26" s="102"/>
      <c r="GZ26" s="102"/>
      <c r="HA26" s="102" t="s">
        <v>12</v>
      </c>
      <c r="HB26" s="102" t="s">
        <v>12</v>
      </c>
      <c r="HC26" s="102" t="s">
        <v>12</v>
      </c>
      <c r="HD26" s="102"/>
      <c r="HE26" s="102"/>
      <c r="HF26" s="102"/>
      <c r="HG26" s="102"/>
      <c r="HH26" s="102" t="s">
        <v>12</v>
      </c>
      <c r="HI26" s="102" t="s">
        <v>12</v>
      </c>
      <c r="HJ26" s="102" t="s">
        <v>12</v>
      </c>
      <c r="HK26" s="102"/>
      <c r="HL26" s="102"/>
      <c r="HM26" s="102"/>
      <c r="HN26" s="102"/>
      <c r="HO26" s="102">
        <v>1.0</v>
      </c>
      <c r="HP26" s="102">
        <v>1.0</v>
      </c>
      <c r="HQ26" s="102">
        <v>1.0</v>
      </c>
      <c r="HR26" s="104">
        <f>COUNTIF(GP26:HQ26,"D")/3</f>
        <v>3</v>
      </c>
      <c r="HS26" s="104">
        <f>COUNTIF(GP26:HQ26,"D")/3</f>
        <v>3</v>
      </c>
      <c r="HT26" s="102"/>
      <c r="HU26" s="113"/>
      <c r="HV26" s="106"/>
      <c r="HW26" s="105"/>
      <c r="HX26" s="102" t="s">
        <v>12</v>
      </c>
      <c r="HY26" s="102" t="s">
        <v>12</v>
      </c>
      <c r="HZ26" s="102" t="s">
        <v>12</v>
      </c>
      <c r="IA26" s="102"/>
      <c r="IB26" s="102"/>
      <c r="IC26" s="102"/>
      <c r="ID26" s="102"/>
      <c r="IE26" s="102" t="s">
        <v>12</v>
      </c>
      <c r="IF26" s="102" t="s">
        <v>12</v>
      </c>
      <c r="IG26" s="102" t="s">
        <v>12</v>
      </c>
      <c r="IH26" s="102"/>
      <c r="II26" s="102"/>
      <c r="IJ26" s="102"/>
      <c r="IK26" s="102"/>
      <c r="IL26" s="102">
        <v>2.0</v>
      </c>
      <c r="IM26" s="102">
        <v>2.0</v>
      </c>
      <c r="IN26" s="102">
        <v>3.0</v>
      </c>
      <c r="IO26" s="102"/>
      <c r="IP26" s="102"/>
      <c r="IQ26" s="102"/>
      <c r="IR26" s="102"/>
      <c r="IS26" s="102" t="s">
        <v>12</v>
      </c>
      <c r="IT26" s="102" t="s">
        <v>12</v>
      </c>
      <c r="IU26" s="102" t="s">
        <v>12</v>
      </c>
      <c r="IV26" s="104">
        <f>COUNTIF(HT26:IU26,"D")/3</f>
        <v>3</v>
      </c>
      <c r="IW26" s="104">
        <f>COUNTIF(HT26:IU26,"D")/3</f>
        <v>3</v>
      </c>
      <c r="IX26" s="102"/>
      <c r="IY26" s="102"/>
      <c r="IZ26" s="102"/>
      <c r="JA26" s="102"/>
      <c r="JB26" s="113">
        <v>3.0</v>
      </c>
      <c r="JC26" s="106">
        <v>3.0</v>
      </c>
      <c r="JD26" s="105">
        <v>3.0</v>
      </c>
      <c r="JE26" s="102"/>
      <c r="JF26" s="102"/>
      <c r="JG26" s="102"/>
      <c r="JH26" s="102"/>
      <c r="JI26" s="102" t="s">
        <v>12</v>
      </c>
      <c r="JJ26" s="102" t="s">
        <v>12</v>
      </c>
      <c r="JK26" s="102" t="s">
        <v>12</v>
      </c>
      <c r="JL26" s="102"/>
      <c r="JM26" s="102"/>
      <c r="JN26" s="102"/>
      <c r="JO26" s="102"/>
      <c r="JP26" s="102">
        <v>1.0</v>
      </c>
      <c r="JQ26" s="102">
        <v>1.0</v>
      </c>
      <c r="JR26" s="102">
        <v>1.0</v>
      </c>
      <c r="JS26" s="102"/>
      <c r="JT26" s="102"/>
      <c r="JU26" s="102"/>
      <c r="JV26" s="102"/>
      <c r="JW26" s="102" t="s">
        <v>12</v>
      </c>
      <c r="JX26" s="102" t="s">
        <v>12</v>
      </c>
      <c r="JY26" s="102" t="s">
        <v>12</v>
      </c>
      <c r="JZ26" s="102"/>
      <c r="KA26" s="102"/>
      <c r="KB26" s="102"/>
      <c r="KC26" s="102"/>
      <c r="KD26" s="102" t="s">
        <v>12</v>
      </c>
      <c r="KE26" s="102" t="s">
        <v>12</v>
      </c>
      <c r="KF26" s="102" t="s">
        <v>12</v>
      </c>
      <c r="KG26" s="104">
        <f>COUNTIF(IX26:KF26,"D")/3</f>
        <v>3</v>
      </c>
      <c r="KH26" s="104">
        <f>COUNTIF(IX26:KF26,"D")/3</f>
        <v>3</v>
      </c>
      <c r="KI26" s="113"/>
      <c r="KJ26" s="105"/>
      <c r="KK26" s="102"/>
      <c r="KL26" s="102"/>
      <c r="KM26" s="102">
        <v>3.0</v>
      </c>
      <c r="KN26" s="102">
        <v>3.0</v>
      </c>
      <c r="KO26" s="102">
        <v>3.0</v>
      </c>
      <c r="KP26" s="102"/>
      <c r="KQ26" s="102"/>
      <c r="KR26" s="102"/>
      <c r="KS26" s="102"/>
      <c r="KT26" s="102" t="s">
        <v>12</v>
      </c>
      <c r="KU26" s="102" t="s">
        <v>12</v>
      </c>
      <c r="KV26" s="102" t="s">
        <v>12</v>
      </c>
      <c r="KW26" s="102"/>
      <c r="KX26" s="102"/>
      <c r="KY26" s="102"/>
      <c r="KZ26" s="102"/>
      <c r="LA26" s="102" t="s">
        <v>12</v>
      </c>
      <c r="LB26" s="102" t="s">
        <v>12</v>
      </c>
      <c r="LC26" s="102" t="s">
        <v>12</v>
      </c>
      <c r="LD26" s="102"/>
      <c r="LE26" s="102"/>
      <c r="LF26" s="102"/>
      <c r="LG26" s="102"/>
      <c r="LH26" s="102">
        <v>1.0</v>
      </c>
      <c r="LI26" s="102">
        <v>1.0</v>
      </c>
      <c r="LJ26" s="102">
        <v>1.0</v>
      </c>
      <c r="LK26" s="104">
        <f>COUNTIF(KI26:LJ26,"D")/3</f>
        <v>2</v>
      </c>
      <c r="LL26" s="104">
        <f>COUNTIF(KI26:LJ26,"D")/3</f>
        <v>2</v>
      </c>
      <c r="LM26" s="102"/>
      <c r="LN26" s="102"/>
      <c r="LO26" s="113"/>
      <c r="LP26" s="106"/>
      <c r="LQ26" s="102">
        <v>2.0</v>
      </c>
      <c r="LR26" s="102">
        <v>2.0</v>
      </c>
      <c r="LS26" s="102">
        <v>2.0</v>
      </c>
      <c r="LT26" s="102"/>
      <c r="LU26" s="102"/>
      <c r="LV26" s="102"/>
      <c r="LW26" s="102"/>
      <c r="LX26" s="102" t="s">
        <v>12</v>
      </c>
      <c r="LY26" s="102" t="s">
        <v>12</v>
      </c>
      <c r="LZ26" s="102" t="s">
        <v>12</v>
      </c>
      <c r="MA26" s="102"/>
      <c r="MB26" s="102"/>
      <c r="MC26" s="102"/>
      <c r="MD26" s="102"/>
      <c r="ME26" s="102" t="s">
        <v>12</v>
      </c>
      <c r="MF26" s="102"/>
      <c r="MG26" s="102" t="s">
        <v>12</v>
      </c>
      <c r="MH26" s="102"/>
      <c r="MI26" s="102"/>
      <c r="MJ26" s="102"/>
      <c r="MK26" s="102"/>
      <c r="ML26" s="102">
        <v>3.0</v>
      </c>
      <c r="MM26" s="102">
        <v>3.0</v>
      </c>
      <c r="MN26" s="102"/>
      <c r="MO26" s="104">
        <f>COUNTIF(LM26:MN26,"D")/3</f>
        <v>1.666666667</v>
      </c>
      <c r="MP26" s="104">
        <f>COUNTIF(LM26:MN26,"D")/3</f>
        <v>1.666666667</v>
      </c>
      <c r="MQ26" s="102"/>
      <c r="MR26" s="102"/>
      <c r="MS26" s="102"/>
      <c r="MT26" s="102"/>
      <c r="MU26" s="102">
        <v>1.0</v>
      </c>
      <c r="MV26" s="113">
        <v>1.0</v>
      </c>
      <c r="MW26" s="105">
        <v>1.0</v>
      </c>
      <c r="MX26" s="102"/>
      <c r="MY26" s="102"/>
      <c r="MZ26" s="102"/>
      <c r="NA26" s="102"/>
      <c r="NB26" s="102" t="s">
        <v>12</v>
      </c>
      <c r="NC26" s="102" t="s">
        <v>12</v>
      </c>
      <c r="ND26" s="102" t="s">
        <v>12</v>
      </c>
      <c r="NE26" s="102"/>
      <c r="NF26" s="102"/>
      <c r="NG26" s="102"/>
      <c r="NH26" s="102"/>
      <c r="NI26" s="102" t="s">
        <v>12</v>
      </c>
      <c r="NJ26" s="102" t="s">
        <v>12</v>
      </c>
      <c r="NK26" s="102" t="s">
        <v>12</v>
      </c>
      <c r="NL26" s="102"/>
      <c r="NM26" s="102"/>
      <c r="NN26" s="102"/>
      <c r="NO26" s="102"/>
      <c r="NP26" s="102"/>
      <c r="NQ26" s="102"/>
      <c r="NR26" s="102"/>
      <c r="NS26" s="102"/>
      <c r="NT26" s="102"/>
      <c r="NU26" s="102"/>
      <c r="NV26" s="102"/>
      <c r="NW26" s="102"/>
      <c r="NX26" s="102"/>
      <c r="NY26" s="102"/>
      <c r="NZ26" s="104">
        <f>COUNTIF(MQ26:NY26,"D")/3</f>
        <v>2</v>
      </c>
      <c r="OA26" s="104">
        <f>COUNTIF(MQ26:NY26,"D")/3</f>
        <v>2</v>
      </c>
      <c r="OB26" s="113"/>
      <c r="OC26" s="106"/>
      <c r="OD26" s="104">
        <f t="shared" ref="OD26:OE26" si="11">SUM(AF26,BJ26,CU26,DY26,FC26,GN26,HR26,IV26,KG26,LK26,MO26,NZ26)</f>
        <v>27.66666667</v>
      </c>
      <c r="OE26" s="104">
        <f t="shared" si="11"/>
        <v>27.66666667</v>
      </c>
    </row>
    <row r="27" ht="26.25" customHeight="1">
      <c r="A27" s="73"/>
      <c r="B27" s="74"/>
      <c r="C27" s="114"/>
      <c r="D27" s="115"/>
      <c r="E27" s="136"/>
      <c r="F27" s="136"/>
      <c r="G27" s="136"/>
      <c r="H27" s="136"/>
      <c r="I27" s="136"/>
      <c r="J27" s="136"/>
      <c r="K27" s="136"/>
      <c r="L27" s="136"/>
      <c r="M27" s="136"/>
      <c r="N27" s="170"/>
      <c r="O27" s="136">
        <v>1.0</v>
      </c>
      <c r="P27" s="136"/>
      <c r="Q27" s="137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8"/>
      <c r="AG27" s="138"/>
      <c r="AH27" s="143"/>
      <c r="AI27" s="140"/>
      <c r="AJ27" s="141"/>
      <c r="AK27" s="142"/>
      <c r="AL27" s="136"/>
      <c r="AM27" s="116"/>
      <c r="AN27" s="136"/>
      <c r="AO27" s="136"/>
      <c r="AP27" s="136"/>
      <c r="AQ27" s="136"/>
      <c r="AR27" s="136"/>
      <c r="AS27" s="136"/>
      <c r="AT27" s="136"/>
      <c r="AU27" s="136"/>
      <c r="AV27" s="136"/>
      <c r="AW27" s="116"/>
      <c r="AX27" s="137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8"/>
      <c r="BK27" s="138"/>
      <c r="BL27" s="116"/>
      <c r="BM27" s="116"/>
      <c r="BN27" s="136"/>
      <c r="BO27" s="136"/>
      <c r="BP27" s="143"/>
      <c r="BQ27" s="136"/>
      <c r="BR27" s="136"/>
      <c r="BS27" s="116"/>
      <c r="BT27" s="136"/>
      <c r="BU27" s="136"/>
      <c r="BV27" s="136"/>
      <c r="BW27" s="136"/>
      <c r="BX27" s="136"/>
      <c r="BY27" s="136"/>
      <c r="BZ27" s="136"/>
      <c r="CA27" s="136"/>
      <c r="CB27" s="136"/>
      <c r="CC27" s="116"/>
      <c r="CD27" s="136"/>
      <c r="CE27" s="136"/>
      <c r="CF27" s="136"/>
      <c r="CG27" s="116"/>
      <c r="CH27" s="136"/>
      <c r="CI27" s="136"/>
      <c r="CJ27" s="136"/>
      <c r="CK27" s="116"/>
      <c r="CL27" s="116"/>
      <c r="CM27" s="116"/>
      <c r="CN27" s="136"/>
      <c r="CO27" s="136"/>
      <c r="CP27" s="136"/>
      <c r="CQ27" s="136"/>
      <c r="CR27" s="136"/>
      <c r="CS27" s="140"/>
      <c r="CT27" s="141"/>
      <c r="CU27" s="138"/>
      <c r="CV27" s="138"/>
      <c r="CW27" s="143"/>
      <c r="CX27" s="136"/>
      <c r="CY27" s="136"/>
      <c r="CZ27" s="136"/>
      <c r="DA27" s="136"/>
      <c r="DB27" s="136"/>
      <c r="DC27" s="136"/>
      <c r="DD27" s="116"/>
      <c r="DE27" s="136"/>
      <c r="DF27" s="136"/>
      <c r="DG27" s="136"/>
      <c r="DH27" s="136"/>
      <c r="DI27" s="116"/>
      <c r="DJ27" s="137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16"/>
      <c r="DV27" s="150"/>
      <c r="DW27" s="136"/>
      <c r="DX27" s="136"/>
      <c r="DY27" s="138"/>
      <c r="DZ27" s="138"/>
      <c r="EA27" s="136"/>
      <c r="EB27" s="141"/>
      <c r="EC27" s="115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50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38"/>
      <c r="FD27" s="138"/>
      <c r="FE27" s="116"/>
      <c r="FF27" s="116"/>
      <c r="FG27" s="116"/>
      <c r="FH27" s="120"/>
      <c r="FI27" s="118"/>
      <c r="FJ27" s="143"/>
      <c r="FK27" s="136"/>
      <c r="FL27" s="136"/>
      <c r="FM27" s="136"/>
      <c r="FN27" s="136"/>
      <c r="FO27" s="136"/>
      <c r="FP27" s="136"/>
      <c r="FQ27" s="136"/>
      <c r="FR27" s="136"/>
      <c r="FS27" s="136"/>
      <c r="FT27" s="136"/>
      <c r="FU27" s="136"/>
      <c r="FV27" s="136"/>
      <c r="FW27" s="137"/>
      <c r="FX27" s="136"/>
      <c r="FY27" s="136"/>
      <c r="FZ27" s="136"/>
      <c r="GA27" s="136"/>
      <c r="GB27" s="136"/>
      <c r="GC27" s="136"/>
      <c r="GD27" s="136"/>
      <c r="GE27" s="136"/>
      <c r="GF27" s="136"/>
      <c r="GG27" s="136"/>
      <c r="GH27" s="136"/>
      <c r="GI27" s="136"/>
      <c r="GJ27" s="136"/>
      <c r="GK27" s="136"/>
      <c r="GL27" s="136"/>
      <c r="GM27" s="140"/>
      <c r="GN27" s="138"/>
      <c r="GO27" s="138"/>
      <c r="GP27" s="143"/>
      <c r="GQ27" s="136"/>
      <c r="GR27" s="136"/>
      <c r="GS27" s="136"/>
      <c r="GT27" s="136"/>
      <c r="GU27" s="136"/>
      <c r="GV27" s="136"/>
      <c r="GW27" s="136"/>
      <c r="GX27" s="136"/>
      <c r="GY27" s="136"/>
      <c r="GZ27" s="136"/>
      <c r="HA27" s="136"/>
      <c r="HB27" s="136"/>
      <c r="HC27" s="137"/>
      <c r="HD27" s="136"/>
      <c r="HE27" s="136"/>
      <c r="HF27" s="136"/>
      <c r="HG27" s="136"/>
      <c r="HH27" s="136"/>
      <c r="HI27" s="136"/>
      <c r="HJ27" s="136"/>
      <c r="HK27" s="136"/>
      <c r="HL27" s="136"/>
      <c r="HM27" s="136"/>
      <c r="HN27" s="136"/>
      <c r="HO27" s="136"/>
      <c r="HP27" s="136"/>
      <c r="HQ27" s="136"/>
      <c r="HR27" s="138"/>
      <c r="HS27" s="138"/>
      <c r="HT27" s="136"/>
      <c r="HU27" s="140"/>
      <c r="HV27" s="141"/>
      <c r="HW27" s="143"/>
      <c r="HX27" s="136"/>
      <c r="HY27" s="136"/>
      <c r="HZ27" s="136"/>
      <c r="IA27" s="136"/>
      <c r="IB27" s="136"/>
      <c r="IC27" s="136"/>
      <c r="ID27" s="136"/>
      <c r="IE27" s="136"/>
      <c r="IF27" s="136"/>
      <c r="IG27" s="136"/>
      <c r="IH27" s="136"/>
      <c r="II27" s="136"/>
      <c r="IJ27" s="137"/>
      <c r="IK27" s="136"/>
      <c r="IL27" s="136"/>
      <c r="IM27" s="136"/>
      <c r="IN27" s="136"/>
      <c r="IO27" s="136"/>
      <c r="IP27" s="136"/>
      <c r="IQ27" s="136"/>
      <c r="IR27" s="136"/>
      <c r="IS27" s="136"/>
      <c r="IT27" s="136"/>
      <c r="IU27" s="136"/>
      <c r="IV27" s="138"/>
      <c r="IW27" s="138"/>
      <c r="IX27" s="136"/>
      <c r="IY27" s="136"/>
      <c r="IZ27" s="136"/>
      <c r="JA27" s="136"/>
      <c r="JB27" s="140"/>
      <c r="JC27" s="141"/>
      <c r="JD27" s="143"/>
      <c r="JE27" s="136"/>
      <c r="JF27" s="136"/>
      <c r="JG27" s="136"/>
      <c r="JH27" s="136"/>
      <c r="JI27" s="136"/>
      <c r="JJ27" s="136"/>
      <c r="JK27" s="136"/>
      <c r="JL27" s="136"/>
      <c r="JM27" s="136"/>
      <c r="JN27" s="136"/>
      <c r="JO27" s="136"/>
      <c r="JP27" s="136"/>
      <c r="JQ27" s="137"/>
      <c r="JR27" s="136"/>
      <c r="JS27" s="136"/>
      <c r="JT27" s="136"/>
      <c r="JU27" s="136"/>
      <c r="JV27" s="136"/>
      <c r="JW27" s="136"/>
      <c r="JX27" s="136"/>
      <c r="JY27" s="136"/>
      <c r="JZ27" s="136"/>
      <c r="KA27" s="136"/>
      <c r="KB27" s="136"/>
      <c r="KC27" s="136"/>
      <c r="KD27" s="136"/>
      <c r="KE27" s="136"/>
      <c r="KF27" s="136"/>
      <c r="KG27" s="138"/>
      <c r="KH27" s="138"/>
      <c r="KI27" s="140"/>
      <c r="KJ27" s="143"/>
      <c r="KK27" s="136"/>
      <c r="KL27" s="136"/>
      <c r="KM27" s="136"/>
      <c r="KN27" s="136"/>
      <c r="KO27" s="136"/>
      <c r="KP27" s="136"/>
      <c r="KQ27" s="136"/>
      <c r="KR27" s="136"/>
      <c r="KS27" s="136"/>
      <c r="KT27" s="136"/>
      <c r="KU27" s="136"/>
      <c r="KV27" s="136"/>
      <c r="KW27" s="137"/>
      <c r="KX27" s="136"/>
      <c r="KY27" s="136"/>
      <c r="KZ27" s="136"/>
      <c r="LA27" s="136"/>
      <c r="LB27" s="136"/>
      <c r="LC27" s="136"/>
      <c r="LD27" s="136"/>
      <c r="LE27" s="136"/>
      <c r="LF27" s="136"/>
      <c r="LG27" s="136"/>
      <c r="LH27" s="136"/>
      <c r="LI27" s="136"/>
      <c r="LJ27" s="136"/>
      <c r="LK27" s="138"/>
      <c r="LL27" s="138"/>
      <c r="LM27" s="136"/>
      <c r="LN27" s="136"/>
      <c r="LO27" s="140"/>
      <c r="LP27" s="141"/>
      <c r="LQ27" s="136"/>
      <c r="LR27" s="136"/>
      <c r="LS27" s="136"/>
      <c r="LT27" s="136"/>
      <c r="LU27" s="136"/>
      <c r="LV27" s="136"/>
      <c r="LW27" s="136"/>
      <c r="LX27" s="136"/>
      <c r="LY27" s="136"/>
      <c r="LZ27" s="136"/>
      <c r="MA27" s="136"/>
      <c r="MB27" s="136"/>
      <c r="MC27" s="136"/>
      <c r="MD27" s="137"/>
      <c r="ME27" s="136"/>
      <c r="MF27" s="136"/>
      <c r="MG27" s="136"/>
      <c r="MH27" s="136"/>
      <c r="MI27" s="136"/>
      <c r="MJ27" s="136"/>
      <c r="MK27" s="136"/>
      <c r="ML27" s="136"/>
      <c r="MM27" s="136"/>
      <c r="MN27" s="136"/>
      <c r="MO27" s="138"/>
      <c r="MP27" s="138"/>
      <c r="MQ27" s="136"/>
      <c r="MR27" s="136"/>
      <c r="MS27" s="136"/>
      <c r="MT27" s="136"/>
      <c r="MU27" s="136"/>
      <c r="MV27" s="140"/>
      <c r="MW27" s="143"/>
      <c r="MX27" s="136"/>
      <c r="MY27" s="136"/>
      <c r="MZ27" s="136"/>
      <c r="NA27" s="136"/>
      <c r="NB27" s="136"/>
      <c r="NC27" s="136"/>
      <c r="ND27" s="136"/>
      <c r="NE27" s="136"/>
      <c r="NF27" s="136"/>
      <c r="NG27" s="136"/>
      <c r="NH27" s="136"/>
      <c r="NI27" s="136"/>
      <c r="NJ27" s="137"/>
      <c r="NK27" s="136"/>
      <c r="NL27" s="136"/>
      <c r="NM27" s="136"/>
      <c r="NN27" s="136"/>
      <c r="NO27" s="136"/>
      <c r="NP27" s="136"/>
      <c r="NQ27" s="136"/>
      <c r="NR27" s="136"/>
      <c r="NS27" s="136"/>
      <c r="NT27" s="136"/>
      <c r="NU27" s="136"/>
      <c r="NV27" s="136"/>
      <c r="NW27" s="136"/>
      <c r="NX27" s="136"/>
      <c r="NY27" s="136"/>
      <c r="NZ27" s="138"/>
      <c r="OA27" s="138"/>
      <c r="OB27" s="140"/>
      <c r="OC27" s="141"/>
      <c r="OD27" s="138"/>
      <c r="OE27" s="138"/>
    </row>
    <row r="28" ht="26.25" customHeight="1">
      <c r="A28" s="98" t="s">
        <v>81</v>
      </c>
      <c r="B28" s="99" t="s">
        <v>72</v>
      </c>
      <c r="C28" s="100" t="s">
        <v>31</v>
      </c>
      <c r="D28" s="102"/>
      <c r="E28" s="102"/>
      <c r="F28" s="102"/>
      <c r="G28" s="102"/>
      <c r="H28" s="102" t="s">
        <v>12</v>
      </c>
      <c r="I28" s="102" t="s">
        <v>12</v>
      </c>
      <c r="J28" s="102" t="s">
        <v>12</v>
      </c>
      <c r="K28" s="102"/>
      <c r="L28" s="102"/>
      <c r="M28" s="102"/>
      <c r="N28" s="102"/>
      <c r="O28" s="102" t="s">
        <v>12</v>
      </c>
      <c r="P28" s="102" t="s">
        <v>12</v>
      </c>
      <c r="Q28" s="102" t="s">
        <v>12</v>
      </c>
      <c r="R28" s="102"/>
      <c r="S28" s="102"/>
      <c r="T28" s="102"/>
      <c r="U28" s="102"/>
      <c r="V28" s="102">
        <v>3.0</v>
      </c>
      <c r="W28" s="102">
        <v>3.0</v>
      </c>
      <c r="X28" s="102">
        <v>3.0</v>
      </c>
      <c r="Y28" s="102"/>
      <c r="Z28" s="102"/>
      <c r="AA28" s="111"/>
      <c r="AB28" s="102"/>
      <c r="AC28" s="102">
        <v>2.0</v>
      </c>
      <c r="AD28" s="102">
        <v>2.0</v>
      </c>
      <c r="AE28" s="102">
        <v>2.0</v>
      </c>
      <c r="AF28" s="104">
        <f>COUNTIF(D28:AE28,"D")/3</f>
        <v>2</v>
      </c>
      <c r="AG28" s="104">
        <f>COUNTIF(D28:AE28,"D")/3</f>
        <v>2</v>
      </c>
      <c r="AH28" s="105"/>
      <c r="AI28" s="113"/>
      <c r="AJ28" s="106"/>
      <c r="AK28" s="107"/>
      <c r="AL28" s="102">
        <v>1.0</v>
      </c>
      <c r="AM28" s="102">
        <v>1.0</v>
      </c>
      <c r="AN28" s="102">
        <v>1.0</v>
      </c>
      <c r="AO28" s="102"/>
      <c r="AP28" s="102"/>
      <c r="AQ28" s="102"/>
      <c r="AR28" s="102"/>
      <c r="AS28" s="102" t="s">
        <v>12</v>
      </c>
      <c r="AT28" s="102"/>
      <c r="AU28" s="102">
        <v>3.0</v>
      </c>
      <c r="AV28" s="102">
        <v>3.0</v>
      </c>
      <c r="AW28" s="102">
        <v>3.0</v>
      </c>
      <c r="AX28" s="102"/>
      <c r="AY28" s="102"/>
      <c r="AZ28" s="102" t="s">
        <v>12</v>
      </c>
      <c r="BA28" s="102" t="s">
        <v>12</v>
      </c>
      <c r="BB28" s="102" t="s">
        <v>12</v>
      </c>
      <c r="BC28" s="102"/>
      <c r="BD28" s="111"/>
      <c r="BE28" s="102"/>
      <c r="BF28" s="102"/>
      <c r="BG28" s="102" t="s">
        <v>12</v>
      </c>
      <c r="BH28" s="102" t="s">
        <v>12</v>
      </c>
      <c r="BI28" s="102" t="s">
        <v>12</v>
      </c>
      <c r="BJ28" s="104">
        <f>COUNTIF(AH28:BI28,"D")/3</f>
        <v>2.333333333</v>
      </c>
      <c r="BK28" s="104">
        <f>COUNTIF(AH28:BI28,"D")/3</f>
        <v>2.333333333</v>
      </c>
      <c r="BL28" s="102"/>
      <c r="BM28" s="102"/>
      <c r="BN28" s="102"/>
      <c r="BO28" s="102"/>
      <c r="BP28" s="105">
        <v>1.0</v>
      </c>
      <c r="BQ28" s="102">
        <v>1.0</v>
      </c>
      <c r="BR28" s="102">
        <v>1.0</v>
      </c>
      <c r="BS28" s="102"/>
      <c r="BT28" s="102"/>
      <c r="BU28" s="102"/>
      <c r="BV28" s="102"/>
      <c r="BW28" s="102" t="s">
        <v>12</v>
      </c>
      <c r="BX28" s="102" t="s">
        <v>12</v>
      </c>
      <c r="BY28" s="102" t="s">
        <v>12</v>
      </c>
      <c r="BZ28" s="102"/>
      <c r="CA28" s="102"/>
      <c r="CB28" s="102"/>
      <c r="CC28" s="102"/>
      <c r="CD28" s="102">
        <v>3.0</v>
      </c>
      <c r="CE28" s="102">
        <v>3.0</v>
      </c>
      <c r="CF28" s="102">
        <v>3.0</v>
      </c>
      <c r="CG28" s="102"/>
      <c r="CH28" s="102"/>
      <c r="CI28" s="102"/>
      <c r="CJ28" s="102"/>
      <c r="CK28" s="102" t="s">
        <v>12</v>
      </c>
      <c r="CL28" s="102" t="s">
        <v>12</v>
      </c>
      <c r="CM28" s="102" t="s">
        <v>12</v>
      </c>
      <c r="CN28" s="102"/>
      <c r="CO28" s="102"/>
      <c r="CP28" s="102"/>
      <c r="CQ28" s="102"/>
      <c r="CR28" s="102">
        <v>1.0</v>
      </c>
      <c r="CS28" s="113">
        <v>1.0</v>
      </c>
      <c r="CT28" s="106">
        <v>1.0</v>
      </c>
      <c r="CU28" s="104">
        <f>COUNTIF(BL28:CT28,"D")/3</f>
        <v>2</v>
      </c>
      <c r="CV28" s="104">
        <f>COUNTIF(BL28:CT28,"D")/3</f>
        <v>2</v>
      </c>
      <c r="CW28" s="105"/>
      <c r="CX28" s="102"/>
      <c r="CY28" s="102"/>
      <c r="CZ28" s="102"/>
      <c r="DA28" s="102">
        <v>3.0</v>
      </c>
      <c r="DB28" s="102">
        <v>3.0</v>
      </c>
      <c r="DC28" s="102"/>
      <c r="DD28" s="102"/>
      <c r="DE28" s="102"/>
      <c r="DF28" s="102"/>
      <c r="DG28" s="110"/>
      <c r="DH28" s="102" t="s">
        <v>12</v>
      </c>
      <c r="DI28" s="102" t="s">
        <v>12</v>
      </c>
      <c r="DJ28" s="102" t="s">
        <v>12</v>
      </c>
      <c r="DK28" s="102"/>
      <c r="DL28" s="102"/>
      <c r="DM28" s="102"/>
      <c r="DN28" s="102"/>
      <c r="DO28" s="102">
        <v>2.0</v>
      </c>
      <c r="DP28" s="102">
        <v>2.0</v>
      </c>
      <c r="DQ28" s="102">
        <v>2.0</v>
      </c>
      <c r="DR28" s="102"/>
      <c r="DS28" s="102"/>
      <c r="DT28" s="102"/>
      <c r="DU28" s="111"/>
      <c r="DV28" s="102" t="s">
        <v>12</v>
      </c>
      <c r="DW28" s="102" t="s">
        <v>12</v>
      </c>
      <c r="DX28" s="102" t="s">
        <v>12</v>
      </c>
      <c r="DY28" s="104">
        <f>COUNTIF(CW28:DX28,"D")/3</f>
        <v>2</v>
      </c>
      <c r="DZ28" s="104">
        <f>COUNTIF(CW28:DX28,"D")/3</f>
        <v>2</v>
      </c>
      <c r="EA28" s="102"/>
      <c r="EB28" s="106"/>
      <c r="EC28" s="105"/>
      <c r="ED28" s="102"/>
      <c r="EE28" s="102" t="s">
        <v>68</v>
      </c>
      <c r="EF28" s="102" t="s">
        <v>12</v>
      </c>
      <c r="EG28" s="102" t="s">
        <v>12</v>
      </c>
      <c r="EH28" s="102"/>
      <c r="EI28" s="102"/>
      <c r="EJ28" s="102"/>
      <c r="EK28" s="102"/>
      <c r="EL28" s="102" t="s">
        <v>12</v>
      </c>
      <c r="EM28" s="102" t="s">
        <v>12</v>
      </c>
      <c r="EN28" s="102" t="s">
        <v>12</v>
      </c>
      <c r="EO28" s="102"/>
      <c r="EP28" s="102"/>
      <c r="EQ28" s="102"/>
      <c r="ER28" s="102"/>
      <c r="ES28" s="102">
        <v>3.0</v>
      </c>
      <c r="ET28" s="102">
        <v>3.0</v>
      </c>
      <c r="EU28" s="102"/>
      <c r="EV28" s="102"/>
      <c r="EW28" s="102"/>
      <c r="EX28" s="102"/>
      <c r="EY28" s="102"/>
      <c r="EZ28" s="102">
        <v>2.0</v>
      </c>
      <c r="FA28" s="102">
        <v>2.0</v>
      </c>
      <c r="FB28" s="102">
        <v>2.0</v>
      </c>
      <c r="FC28" s="104">
        <f>COUNTIF(EA28:FB28,"D")/3</f>
        <v>1.666666667</v>
      </c>
      <c r="FD28" s="104">
        <f>COUNTIF(EA28:FB28,"D")/3</f>
        <v>1.666666667</v>
      </c>
      <c r="FE28" s="102"/>
      <c r="FF28" s="102"/>
      <c r="FG28" s="102"/>
      <c r="FH28" s="113"/>
      <c r="FI28" s="106" t="s">
        <v>12</v>
      </c>
      <c r="FJ28" s="105" t="s">
        <v>12</v>
      </c>
      <c r="FK28" s="102" t="s">
        <v>12</v>
      </c>
      <c r="FL28" s="102"/>
      <c r="FM28" s="102"/>
      <c r="FN28" s="102"/>
      <c r="FO28" s="102"/>
      <c r="FP28" s="102" t="s">
        <v>12</v>
      </c>
      <c r="FQ28" s="102" t="s">
        <v>12</v>
      </c>
      <c r="FR28" s="102" t="s">
        <v>12</v>
      </c>
      <c r="FS28" s="102"/>
      <c r="FT28" s="102"/>
      <c r="FU28" s="102"/>
      <c r="FV28" s="102"/>
      <c r="FW28" s="102" t="s">
        <v>12</v>
      </c>
      <c r="FX28" s="102" t="s">
        <v>12</v>
      </c>
      <c r="FY28" s="102" t="s">
        <v>12</v>
      </c>
      <c r="FZ28" s="102"/>
      <c r="GA28" s="102"/>
      <c r="GB28" s="102"/>
      <c r="GC28" s="102"/>
      <c r="GD28" s="102">
        <v>1.0</v>
      </c>
      <c r="GE28" s="102">
        <v>1.0</v>
      </c>
      <c r="GF28" s="102">
        <v>1.0</v>
      </c>
      <c r="GG28" s="102"/>
      <c r="GH28" s="102"/>
      <c r="GI28" s="102"/>
      <c r="GJ28" s="102"/>
      <c r="GK28" s="102">
        <v>3.0</v>
      </c>
      <c r="GL28" s="102">
        <v>3.0</v>
      </c>
      <c r="GM28" s="102">
        <v>3.0</v>
      </c>
      <c r="GN28" s="104">
        <f>COUNTIF(FE28:GM28,"D")/3</f>
        <v>3</v>
      </c>
      <c r="GO28" s="104">
        <f>COUNTIF(FE28:GM28,"D")/3</f>
        <v>3</v>
      </c>
      <c r="GP28" s="105"/>
      <c r="GQ28" s="102"/>
      <c r="GR28" s="102"/>
      <c r="GS28" s="102"/>
      <c r="GT28" s="102" t="s">
        <v>12</v>
      </c>
      <c r="GU28" s="102" t="s">
        <v>12</v>
      </c>
      <c r="GV28" s="102" t="s">
        <v>12</v>
      </c>
      <c r="GW28" s="102"/>
      <c r="GX28" s="102"/>
      <c r="GY28" s="102"/>
      <c r="GZ28" s="102"/>
      <c r="HA28" s="102">
        <v>3.0</v>
      </c>
      <c r="HB28" s="102">
        <v>3.0</v>
      </c>
      <c r="HC28" s="102">
        <v>3.0</v>
      </c>
      <c r="HD28" s="102"/>
      <c r="HE28" s="102"/>
      <c r="HF28" s="102"/>
      <c r="HG28" s="102"/>
      <c r="HH28" s="102">
        <v>2.0</v>
      </c>
      <c r="HI28" s="102">
        <v>2.0</v>
      </c>
      <c r="HJ28" s="102">
        <v>2.0</v>
      </c>
      <c r="HK28" s="102"/>
      <c r="HL28" s="102"/>
      <c r="HM28" s="102"/>
      <c r="HN28" s="102"/>
      <c r="HO28" s="102" t="s">
        <v>12</v>
      </c>
      <c r="HP28" s="102" t="s">
        <v>12</v>
      </c>
      <c r="HQ28" s="102" t="s">
        <v>12</v>
      </c>
      <c r="HR28" s="104">
        <f>COUNTIF(GP28:HQ28,"D")/3</f>
        <v>2</v>
      </c>
      <c r="HS28" s="104">
        <f>COUNTIF(GP28:HQ28,"D")/3</f>
        <v>2</v>
      </c>
      <c r="HT28" s="102"/>
      <c r="HU28" s="113"/>
      <c r="HV28" s="106"/>
      <c r="HW28" s="105"/>
      <c r="HX28" s="102">
        <v>3.0</v>
      </c>
      <c r="HY28" s="102">
        <v>3.0</v>
      </c>
      <c r="HZ28" s="102">
        <v>3.0</v>
      </c>
      <c r="IA28" s="102"/>
      <c r="IB28" s="102"/>
      <c r="IC28" s="102"/>
      <c r="ID28" s="102"/>
      <c r="IE28" s="102" t="s">
        <v>12</v>
      </c>
      <c r="IF28" s="102" t="s">
        <v>12</v>
      </c>
      <c r="IG28" s="102" t="s">
        <v>12</v>
      </c>
      <c r="IH28" s="102"/>
      <c r="II28" s="102"/>
      <c r="IJ28" s="102"/>
      <c r="IK28" s="102"/>
      <c r="IL28" s="102" t="s">
        <v>12</v>
      </c>
      <c r="IM28" s="102" t="s">
        <v>12</v>
      </c>
      <c r="IN28" s="102" t="s">
        <v>12</v>
      </c>
      <c r="IO28" s="102"/>
      <c r="IP28" s="102"/>
      <c r="IQ28" s="102"/>
      <c r="IR28" s="102"/>
      <c r="IS28" s="102">
        <v>2.0</v>
      </c>
      <c r="IT28" s="102">
        <v>2.0</v>
      </c>
      <c r="IU28" s="102">
        <v>2.0</v>
      </c>
      <c r="IV28" s="104">
        <f>COUNTIF(HT28:IU28,"D")/3</f>
        <v>2</v>
      </c>
      <c r="IW28" s="104">
        <f>COUNTIF(HT28:IU28,"D")/3</f>
        <v>2</v>
      </c>
      <c r="IX28" s="102"/>
      <c r="IY28" s="102"/>
      <c r="IZ28" s="102"/>
      <c r="JA28" s="102"/>
      <c r="JB28" s="113" t="s">
        <v>12</v>
      </c>
      <c r="JC28" s="106" t="s">
        <v>12</v>
      </c>
      <c r="JD28" s="105" t="s">
        <v>12</v>
      </c>
      <c r="JE28" s="102"/>
      <c r="JF28" s="102"/>
      <c r="JG28" s="102"/>
      <c r="JH28" s="102"/>
      <c r="JI28" s="102" t="s">
        <v>12</v>
      </c>
      <c r="JJ28" s="102" t="s">
        <v>12</v>
      </c>
      <c r="JK28" s="102" t="s">
        <v>12</v>
      </c>
      <c r="JL28" s="102"/>
      <c r="JM28" s="102"/>
      <c r="JN28" s="102"/>
      <c r="JO28" s="102"/>
      <c r="JP28" s="102" t="s">
        <v>12</v>
      </c>
      <c r="JQ28" s="102" t="s">
        <v>12</v>
      </c>
      <c r="JR28" s="102" t="s">
        <v>12</v>
      </c>
      <c r="JS28" s="102"/>
      <c r="JT28" s="102"/>
      <c r="JU28" s="102"/>
      <c r="JV28" s="102"/>
      <c r="JW28" s="102" t="s">
        <v>12</v>
      </c>
      <c r="JX28" s="102" t="s">
        <v>12</v>
      </c>
      <c r="JY28" s="102" t="s">
        <v>12</v>
      </c>
      <c r="JZ28" s="102"/>
      <c r="KA28" s="102"/>
      <c r="KB28" s="102"/>
      <c r="KC28" s="102"/>
      <c r="KD28" s="102" t="s">
        <v>12</v>
      </c>
      <c r="KE28" s="102" t="s">
        <v>12</v>
      </c>
      <c r="KF28" s="102" t="s">
        <v>12</v>
      </c>
      <c r="KG28" s="104">
        <f>COUNTIF(IX28:KF28,"D")/3</f>
        <v>5</v>
      </c>
      <c r="KH28" s="104">
        <f>COUNTIF(IX28:KF28,"D")/3</f>
        <v>5</v>
      </c>
      <c r="KI28" s="113"/>
      <c r="KJ28" s="105"/>
      <c r="KK28" s="102"/>
      <c r="KL28" s="102"/>
      <c r="KM28" s="102" t="s">
        <v>12</v>
      </c>
      <c r="KN28" s="102" t="s">
        <v>12</v>
      </c>
      <c r="KO28" s="102" t="s">
        <v>12</v>
      </c>
      <c r="KP28" s="102"/>
      <c r="KQ28" s="102"/>
      <c r="KR28" s="102"/>
      <c r="KS28" s="102"/>
      <c r="KT28" s="102">
        <v>3.0</v>
      </c>
      <c r="KU28" s="102">
        <v>3.0</v>
      </c>
      <c r="KV28" s="102"/>
      <c r="KW28" s="102"/>
      <c r="KX28" s="102"/>
      <c r="KY28" s="102"/>
      <c r="KZ28" s="102"/>
      <c r="LA28" s="102" t="s">
        <v>12</v>
      </c>
      <c r="LB28" s="102" t="s">
        <v>12</v>
      </c>
      <c r="LC28" s="102" t="s">
        <v>12</v>
      </c>
      <c r="LD28" s="102"/>
      <c r="LE28" s="102"/>
      <c r="LF28" s="102"/>
      <c r="LG28" s="102"/>
      <c r="LH28" s="102">
        <v>1.0</v>
      </c>
      <c r="LI28" s="102">
        <v>1.0</v>
      </c>
      <c r="LJ28" s="102">
        <v>1.0</v>
      </c>
      <c r="LK28" s="104">
        <f>COUNTIF(KI28:LJ28,"D")/3</f>
        <v>2</v>
      </c>
      <c r="LL28" s="104">
        <f>COUNTIF(KI28:LJ28,"D")/3</f>
        <v>2</v>
      </c>
      <c r="LM28" s="102"/>
      <c r="LN28" s="102"/>
      <c r="LO28" s="113"/>
      <c r="LP28" s="106"/>
      <c r="LQ28" s="102" t="s">
        <v>12</v>
      </c>
      <c r="LR28" s="102" t="s">
        <v>12</v>
      </c>
      <c r="LS28" s="102" t="s">
        <v>12</v>
      </c>
      <c r="LT28" s="102"/>
      <c r="LU28" s="102"/>
      <c r="LV28" s="102"/>
      <c r="LW28" s="102"/>
      <c r="LX28" s="102">
        <v>3.0</v>
      </c>
      <c r="LY28" s="102">
        <v>3.0</v>
      </c>
      <c r="LZ28" s="102"/>
      <c r="MA28" s="102"/>
      <c r="MB28" s="102"/>
      <c r="MC28" s="102"/>
      <c r="MD28" s="102"/>
      <c r="ME28" s="102">
        <v>2.0</v>
      </c>
      <c r="MF28" s="102">
        <v>2.0</v>
      </c>
      <c r="MG28" s="102">
        <v>2.0</v>
      </c>
      <c r="MH28" s="102"/>
      <c r="MI28" s="102"/>
      <c r="MJ28" s="102"/>
      <c r="MK28" s="102"/>
      <c r="ML28" s="102" t="s">
        <v>12</v>
      </c>
      <c r="MM28" s="102" t="s">
        <v>12</v>
      </c>
      <c r="MN28" s="102" t="s">
        <v>12</v>
      </c>
      <c r="MO28" s="104">
        <f>COUNTIF(LM28:MN28,"D")/3</f>
        <v>2</v>
      </c>
      <c r="MP28" s="104">
        <f>COUNTIF(LM28:MN28,"D")/3</f>
        <v>2</v>
      </c>
      <c r="MQ28" s="102"/>
      <c r="MR28" s="102"/>
      <c r="MS28" s="102"/>
      <c r="MT28" s="102"/>
      <c r="MU28" s="102" t="s">
        <v>12</v>
      </c>
      <c r="MV28" s="113" t="s">
        <v>12</v>
      </c>
      <c r="MW28" s="105" t="s">
        <v>12</v>
      </c>
      <c r="MX28" s="102"/>
      <c r="MY28" s="102"/>
      <c r="MZ28" s="102"/>
      <c r="NA28" s="102"/>
      <c r="NB28" s="102" t="s">
        <v>12</v>
      </c>
      <c r="NC28" s="102" t="s">
        <v>12</v>
      </c>
      <c r="ND28" s="102" t="s">
        <v>12</v>
      </c>
      <c r="NE28" s="102"/>
      <c r="NF28" s="102"/>
      <c r="NG28" s="102"/>
      <c r="NH28" s="102"/>
      <c r="NI28" s="102" t="s">
        <v>12</v>
      </c>
      <c r="NJ28" s="102" t="s">
        <v>12</v>
      </c>
      <c r="NK28" s="102" t="s">
        <v>12</v>
      </c>
      <c r="NL28" s="102"/>
      <c r="NM28" s="102"/>
      <c r="NN28" s="102"/>
      <c r="NO28" s="102"/>
      <c r="NP28" s="102"/>
      <c r="NQ28" s="102"/>
      <c r="NR28" s="102"/>
      <c r="NS28" s="102"/>
      <c r="NT28" s="102"/>
      <c r="NU28" s="102"/>
      <c r="NV28" s="102"/>
      <c r="NW28" s="102"/>
      <c r="NX28" s="102"/>
      <c r="NY28" s="102"/>
      <c r="NZ28" s="104">
        <f>COUNTIF(MQ28:NY28,"D")/3</f>
        <v>3</v>
      </c>
      <c r="OA28" s="104">
        <f>COUNTIF(MQ28:NY28,"D")/3</f>
        <v>3</v>
      </c>
      <c r="OB28" s="113"/>
      <c r="OC28" s="106"/>
      <c r="OD28" s="104">
        <f t="shared" ref="OD28:OE28" si="12">SUM(AF28,BJ28,CU28,DY28,FC28,GN28,HR28,IV28,KG28,LK28,MO28,NZ28)</f>
        <v>29</v>
      </c>
      <c r="OE28" s="104">
        <f t="shared" si="12"/>
        <v>29</v>
      </c>
    </row>
    <row r="29" ht="26.25" customHeight="1">
      <c r="A29" s="73"/>
      <c r="B29" s="74"/>
      <c r="C29" s="114"/>
      <c r="D29" s="143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7"/>
      <c r="R29" s="136"/>
      <c r="S29" s="136"/>
      <c r="T29" s="136"/>
      <c r="U29" s="136"/>
      <c r="V29" s="136"/>
      <c r="W29" s="136"/>
      <c r="X29" s="136"/>
      <c r="Y29" s="136"/>
      <c r="Z29" s="136"/>
      <c r="AA29" s="116"/>
      <c r="AB29" s="136"/>
      <c r="AC29" s="136"/>
      <c r="AD29" s="136"/>
      <c r="AE29" s="136"/>
      <c r="AF29" s="138"/>
      <c r="AG29" s="138"/>
      <c r="AH29" s="143"/>
      <c r="AI29" s="140"/>
      <c r="AJ29" s="141"/>
      <c r="AK29" s="142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7"/>
      <c r="AY29" s="136"/>
      <c r="AZ29" s="136"/>
      <c r="BA29" s="136"/>
      <c r="BB29" s="136"/>
      <c r="BC29" s="136"/>
      <c r="BD29" s="149"/>
      <c r="BE29" s="136"/>
      <c r="BF29" s="136"/>
      <c r="BG29" s="136"/>
      <c r="BH29" s="136"/>
      <c r="BI29" s="136"/>
      <c r="BJ29" s="138"/>
      <c r="BK29" s="138"/>
      <c r="BL29" s="136"/>
      <c r="BM29" s="136"/>
      <c r="BN29" s="136"/>
      <c r="BO29" s="136"/>
      <c r="BP29" s="115"/>
      <c r="BQ29" s="136"/>
      <c r="BR29" s="11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7"/>
      <c r="CD29" s="136"/>
      <c r="CE29" s="136"/>
      <c r="CF29" s="136"/>
      <c r="CG29" s="116"/>
      <c r="CH29" s="136"/>
      <c r="CI29" s="136"/>
      <c r="CJ29" s="136"/>
      <c r="CK29" s="136"/>
      <c r="CL29" s="136"/>
      <c r="CM29" s="136"/>
      <c r="CN29" s="136"/>
      <c r="CO29" s="136"/>
      <c r="CP29" s="136"/>
      <c r="CQ29" s="136"/>
      <c r="CR29" s="136"/>
      <c r="CS29" s="140"/>
      <c r="CT29" s="141"/>
      <c r="CU29" s="138"/>
      <c r="CV29" s="138"/>
      <c r="CW29" s="143"/>
      <c r="CX29" s="136"/>
      <c r="CY29" s="136"/>
      <c r="CZ29" s="136"/>
      <c r="DA29" s="136"/>
      <c r="DB29" s="136"/>
      <c r="DC29" s="136"/>
      <c r="DD29" s="136"/>
      <c r="DE29" s="136"/>
      <c r="DF29" s="136"/>
      <c r="DG29" s="136"/>
      <c r="DH29" s="136"/>
      <c r="DI29" s="136"/>
      <c r="DJ29" s="137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16"/>
      <c r="DV29" s="136"/>
      <c r="DW29" s="136"/>
      <c r="DX29" s="136"/>
      <c r="DY29" s="138"/>
      <c r="DZ29" s="138"/>
      <c r="EA29" s="136"/>
      <c r="EB29" s="141"/>
      <c r="EC29" s="115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50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38"/>
      <c r="FD29" s="138"/>
      <c r="FE29" s="116"/>
      <c r="FF29" s="116"/>
      <c r="FG29" s="116"/>
      <c r="FH29" s="120"/>
      <c r="FI29" s="118"/>
      <c r="FJ29" s="143">
        <v>1.0</v>
      </c>
      <c r="FK29" s="136"/>
      <c r="FL29" s="136"/>
      <c r="FM29" s="136"/>
      <c r="FN29" s="136"/>
      <c r="FO29" s="136"/>
      <c r="FP29" s="136"/>
      <c r="FQ29" s="136"/>
      <c r="FR29" s="136"/>
      <c r="FS29" s="136"/>
      <c r="FT29" s="136"/>
      <c r="FU29" s="136"/>
      <c r="FV29" s="136"/>
      <c r="FW29" s="137"/>
      <c r="FX29" s="136"/>
      <c r="FY29" s="136"/>
      <c r="FZ29" s="136"/>
      <c r="GA29" s="136"/>
      <c r="GB29" s="136"/>
      <c r="GC29" s="136"/>
      <c r="GD29" s="136"/>
      <c r="GE29" s="136"/>
      <c r="GF29" s="136"/>
      <c r="GG29" s="136"/>
      <c r="GH29" s="136"/>
      <c r="GI29" s="136"/>
      <c r="GJ29" s="136"/>
      <c r="GK29" s="136"/>
      <c r="GL29" s="136"/>
      <c r="GM29" s="140"/>
      <c r="GN29" s="138"/>
      <c r="GO29" s="138"/>
      <c r="GP29" s="143"/>
      <c r="GQ29" s="136"/>
      <c r="GR29" s="136"/>
      <c r="GS29" s="136"/>
      <c r="GT29" s="136"/>
      <c r="GU29" s="136"/>
      <c r="GV29" s="136"/>
      <c r="GW29" s="136"/>
      <c r="GX29" s="136"/>
      <c r="GY29" s="136"/>
      <c r="GZ29" s="136"/>
      <c r="HA29" s="136"/>
      <c r="HB29" s="136"/>
      <c r="HC29" s="137"/>
      <c r="HD29" s="136"/>
      <c r="HE29" s="136"/>
      <c r="HF29" s="136"/>
      <c r="HG29" s="136"/>
      <c r="HH29" s="136"/>
      <c r="HI29" s="136"/>
      <c r="HJ29" s="136"/>
      <c r="HK29" s="136"/>
      <c r="HL29" s="136"/>
      <c r="HM29" s="136"/>
      <c r="HN29" s="136"/>
      <c r="HO29" s="136"/>
      <c r="HP29" s="136"/>
      <c r="HQ29" s="136"/>
      <c r="HR29" s="138"/>
      <c r="HS29" s="138"/>
      <c r="HT29" s="136"/>
      <c r="HU29" s="140"/>
      <c r="HV29" s="141"/>
      <c r="HW29" s="143"/>
      <c r="HX29" s="136"/>
      <c r="HY29" s="136"/>
      <c r="HZ29" s="136"/>
      <c r="IA29" s="136"/>
      <c r="IB29" s="136"/>
      <c r="IC29" s="136"/>
      <c r="ID29" s="136"/>
      <c r="IE29" s="136"/>
      <c r="IF29" s="136"/>
      <c r="IG29" s="136"/>
      <c r="IH29" s="136"/>
      <c r="II29" s="136"/>
      <c r="IJ29" s="137"/>
      <c r="IK29" s="136"/>
      <c r="IL29" s="136"/>
      <c r="IM29" s="136"/>
      <c r="IN29" s="136"/>
      <c r="IO29" s="136"/>
      <c r="IP29" s="136"/>
      <c r="IQ29" s="136"/>
      <c r="IR29" s="136"/>
      <c r="IS29" s="136"/>
      <c r="IT29" s="136"/>
      <c r="IU29" s="136"/>
      <c r="IV29" s="138"/>
      <c r="IW29" s="138"/>
      <c r="IX29" s="136"/>
      <c r="IY29" s="136"/>
      <c r="IZ29" s="136"/>
      <c r="JA29" s="136"/>
      <c r="JB29" s="140"/>
      <c r="JC29" s="141"/>
      <c r="JD29" s="143"/>
      <c r="JE29" s="136"/>
      <c r="JF29" s="136"/>
      <c r="JG29" s="136"/>
      <c r="JH29" s="136"/>
      <c r="JI29" s="136"/>
      <c r="JJ29" s="136"/>
      <c r="JK29" s="136"/>
      <c r="JL29" s="136"/>
      <c r="JM29" s="136"/>
      <c r="JN29" s="136"/>
      <c r="JO29" s="136"/>
      <c r="JP29" s="136"/>
      <c r="JQ29" s="137"/>
      <c r="JR29" s="136"/>
      <c r="JS29" s="136"/>
      <c r="JT29" s="136"/>
      <c r="JU29" s="136"/>
      <c r="JV29" s="136"/>
      <c r="JW29" s="136"/>
      <c r="JX29" s="136"/>
      <c r="JY29" s="136"/>
      <c r="JZ29" s="136"/>
      <c r="KA29" s="136"/>
      <c r="KB29" s="136"/>
      <c r="KC29" s="136"/>
      <c r="KD29" s="136"/>
      <c r="KE29" s="136"/>
      <c r="KF29" s="136"/>
      <c r="KG29" s="138"/>
      <c r="KH29" s="138"/>
      <c r="KI29" s="140"/>
      <c r="KJ29" s="143"/>
      <c r="KK29" s="136"/>
      <c r="KL29" s="136"/>
      <c r="KM29" s="136"/>
      <c r="KN29" s="136"/>
      <c r="KO29" s="136"/>
      <c r="KP29" s="136"/>
      <c r="KQ29" s="136"/>
      <c r="KR29" s="136"/>
      <c r="KS29" s="136"/>
      <c r="KT29" s="136"/>
      <c r="KU29" s="136"/>
      <c r="KV29" s="136"/>
      <c r="KW29" s="137"/>
      <c r="KX29" s="136"/>
      <c r="KY29" s="136"/>
      <c r="KZ29" s="136"/>
      <c r="LA29" s="136"/>
      <c r="LB29" s="136"/>
      <c r="LC29" s="136"/>
      <c r="LD29" s="136"/>
      <c r="LE29" s="136"/>
      <c r="LF29" s="136"/>
      <c r="LG29" s="136"/>
      <c r="LH29" s="136"/>
      <c r="LI29" s="136"/>
      <c r="LJ29" s="136"/>
      <c r="LK29" s="138"/>
      <c r="LL29" s="138"/>
      <c r="LM29" s="136"/>
      <c r="LN29" s="136"/>
      <c r="LO29" s="140"/>
      <c r="LP29" s="141"/>
      <c r="LQ29" s="136"/>
      <c r="LR29" s="136"/>
      <c r="LS29" s="136"/>
      <c r="LT29" s="136"/>
      <c r="LU29" s="136"/>
      <c r="LV29" s="136"/>
      <c r="LW29" s="136"/>
      <c r="LX29" s="136"/>
      <c r="LY29" s="136"/>
      <c r="LZ29" s="136"/>
      <c r="MA29" s="136"/>
      <c r="MB29" s="136"/>
      <c r="MC29" s="136"/>
      <c r="MD29" s="137"/>
      <c r="ME29" s="136"/>
      <c r="MF29" s="136"/>
      <c r="MG29" s="136"/>
      <c r="MH29" s="136"/>
      <c r="MI29" s="136"/>
      <c r="MJ29" s="136"/>
      <c r="MK29" s="136"/>
      <c r="ML29" s="136"/>
      <c r="MM29" s="136"/>
      <c r="MN29" s="136"/>
      <c r="MO29" s="138"/>
      <c r="MP29" s="138"/>
      <c r="MQ29" s="136"/>
      <c r="MR29" s="136"/>
      <c r="MS29" s="136"/>
      <c r="MT29" s="136"/>
      <c r="MU29" s="136"/>
      <c r="MV29" s="140"/>
      <c r="MW29" s="143"/>
      <c r="MX29" s="136"/>
      <c r="MY29" s="136"/>
      <c r="MZ29" s="136"/>
      <c r="NA29" s="136"/>
      <c r="NB29" s="136"/>
      <c r="NC29" s="136"/>
      <c r="ND29" s="136"/>
      <c r="NE29" s="136"/>
      <c r="NF29" s="136"/>
      <c r="NG29" s="136"/>
      <c r="NH29" s="136"/>
      <c r="NI29" s="136"/>
      <c r="NJ29" s="137"/>
      <c r="NK29" s="136"/>
      <c r="NL29" s="136"/>
      <c r="NM29" s="136"/>
      <c r="NN29" s="136"/>
      <c r="NO29" s="136"/>
      <c r="NP29" s="136"/>
      <c r="NQ29" s="136"/>
      <c r="NR29" s="136"/>
      <c r="NS29" s="136"/>
      <c r="NT29" s="136"/>
      <c r="NU29" s="136"/>
      <c r="NV29" s="136"/>
      <c r="NW29" s="136"/>
      <c r="NX29" s="136"/>
      <c r="NY29" s="136"/>
      <c r="NZ29" s="138"/>
      <c r="OA29" s="138"/>
      <c r="OB29" s="140"/>
      <c r="OC29" s="141"/>
      <c r="OD29" s="138"/>
      <c r="OE29" s="138"/>
    </row>
    <row r="30" ht="26.25" customHeight="1">
      <c r="A30" s="121" t="s">
        <v>82</v>
      </c>
      <c r="B30" s="122" t="s">
        <v>72</v>
      </c>
      <c r="C30" s="123" t="s">
        <v>33</v>
      </c>
      <c r="D30" s="111"/>
      <c r="E30" s="102"/>
      <c r="F30" s="102"/>
      <c r="G30" s="102"/>
      <c r="H30" s="102" t="s">
        <v>12</v>
      </c>
      <c r="I30" s="102">
        <v>1.0</v>
      </c>
      <c r="J30" s="102">
        <v>1.0</v>
      </c>
      <c r="K30" s="111"/>
      <c r="L30" s="111"/>
      <c r="M30" s="111"/>
      <c r="N30" s="111"/>
      <c r="O30" s="102" t="s">
        <v>12</v>
      </c>
      <c r="P30" s="102" t="s">
        <v>12</v>
      </c>
      <c r="Q30" s="102" t="s">
        <v>12</v>
      </c>
      <c r="R30" s="102"/>
      <c r="S30" s="102"/>
      <c r="T30" s="102"/>
      <c r="U30" s="102"/>
      <c r="V30" s="102">
        <v>1.0</v>
      </c>
      <c r="W30" s="102">
        <v>1.0</v>
      </c>
      <c r="X30" s="102">
        <v>1.0</v>
      </c>
      <c r="Y30" s="102"/>
      <c r="Z30" s="102"/>
      <c r="AA30" s="102"/>
      <c r="AB30" s="102"/>
      <c r="AC30" s="102" t="s">
        <v>12</v>
      </c>
      <c r="AD30" s="102" t="s">
        <v>12</v>
      </c>
      <c r="AE30" s="102" t="s">
        <v>12</v>
      </c>
      <c r="AF30" s="104">
        <f>COUNTIF(D30:AE30,"D")/3</f>
        <v>2.333333333</v>
      </c>
      <c r="AG30" s="104">
        <f>COUNTIF(D30:AE30,"D")/3</f>
        <v>2.333333333</v>
      </c>
      <c r="AH30" s="153"/>
      <c r="AI30" s="154"/>
      <c r="AJ30" s="155"/>
      <c r="AK30" s="159"/>
      <c r="AL30" s="102">
        <v>2.0</v>
      </c>
      <c r="AM30" s="102">
        <v>2.0</v>
      </c>
      <c r="AN30" s="102">
        <v>2.0</v>
      </c>
      <c r="AO30" s="111"/>
      <c r="AP30" s="111"/>
      <c r="AQ30" s="111"/>
      <c r="AR30" s="111"/>
      <c r="AS30" s="102">
        <v>1.0</v>
      </c>
      <c r="AT30" s="102">
        <v>1.0</v>
      </c>
      <c r="AU30" s="102">
        <v>1.0</v>
      </c>
      <c r="AV30" s="111"/>
      <c r="AW30" s="111"/>
      <c r="AX30" s="111"/>
      <c r="AY30" s="111"/>
      <c r="AZ30" s="102" t="s">
        <v>12</v>
      </c>
      <c r="BA30" s="102" t="s">
        <v>12</v>
      </c>
      <c r="BB30" s="102" t="s">
        <v>12</v>
      </c>
      <c r="BC30" s="102"/>
      <c r="BD30" s="112"/>
      <c r="BE30" s="102"/>
      <c r="BF30" s="102"/>
      <c r="BG30" s="102" t="s">
        <v>12</v>
      </c>
      <c r="BH30" s="102" t="s">
        <v>12</v>
      </c>
      <c r="BI30" s="102" t="s">
        <v>12</v>
      </c>
      <c r="BJ30" s="104">
        <f>COUNTIF(AH30:BI30,"D")/3</f>
        <v>2</v>
      </c>
      <c r="BK30" s="104">
        <f>COUNTIF(AH30:BI30,"D")/3</f>
        <v>2</v>
      </c>
      <c r="BL30" s="111"/>
      <c r="BM30" s="111"/>
      <c r="BN30" s="111"/>
      <c r="BO30" s="111"/>
      <c r="BP30" s="105" t="s">
        <v>12</v>
      </c>
      <c r="BQ30" s="102" t="s">
        <v>12</v>
      </c>
      <c r="BR30" s="102" t="s">
        <v>12</v>
      </c>
      <c r="BS30" s="102"/>
      <c r="BT30" s="102"/>
      <c r="BU30" s="102"/>
      <c r="BV30" s="102"/>
      <c r="BW30" s="102">
        <v>2.0</v>
      </c>
      <c r="BX30" s="102">
        <v>2.0</v>
      </c>
      <c r="BY30" s="102">
        <v>2.0</v>
      </c>
      <c r="BZ30" s="102"/>
      <c r="CA30" s="102"/>
      <c r="CB30" s="102"/>
      <c r="CC30" s="102"/>
      <c r="CD30" s="102" t="s">
        <v>12</v>
      </c>
      <c r="CE30" s="102" t="s">
        <v>12</v>
      </c>
      <c r="CF30" s="102" t="s">
        <v>12</v>
      </c>
      <c r="CG30" s="102"/>
      <c r="CH30" s="102"/>
      <c r="CI30" s="156"/>
      <c r="CJ30" s="102"/>
      <c r="CK30" s="102" t="s">
        <v>68</v>
      </c>
      <c r="CL30" s="102">
        <v>1.0</v>
      </c>
      <c r="CM30" s="102">
        <v>1.0</v>
      </c>
      <c r="CN30" s="102"/>
      <c r="CO30" s="102"/>
      <c r="CP30" s="102"/>
      <c r="CQ30" s="102"/>
      <c r="CR30" s="102" t="s">
        <v>12</v>
      </c>
      <c r="CS30" s="102" t="s">
        <v>12</v>
      </c>
      <c r="CT30" s="106" t="s">
        <v>12</v>
      </c>
      <c r="CU30" s="104">
        <f>COUNTIF(BL30:CT30,"D")/3</f>
        <v>3</v>
      </c>
      <c r="CV30" s="104">
        <f>COUNTIF(BL30:CT30,"D")/3</f>
        <v>3</v>
      </c>
      <c r="CW30" s="153"/>
      <c r="CX30" s="111"/>
      <c r="CY30" s="171"/>
      <c r="CZ30" s="111"/>
      <c r="DA30" s="102">
        <v>2.0</v>
      </c>
      <c r="DB30" s="102">
        <v>2.0</v>
      </c>
      <c r="DC30" s="102">
        <v>2.0</v>
      </c>
      <c r="DD30" s="111"/>
      <c r="DE30" s="111"/>
      <c r="DF30" s="111"/>
      <c r="DG30" s="111"/>
      <c r="DH30" s="102" t="s">
        <v>12</v>
      </c>
      <c r="DI30" s="102" t="s">
        <v>12</v>
      </c>
      <c r="DJ30" s="102" t="s">
        <v>12</v>
      </c>
      <c r="DK30" s="111"/>
      <c r="DL30" s="111"/>
      <c r="DM30" s="111"/>
      <c r="DN30" s="111"/>
      <c r="DO30" s="102" t="s">
        <v>12</v>
      </c>
      <c r="DP30" s="102" t="s">
        <v>12</v>
      </c>
      <c r="DQ30" s="102" t="s">
        <v>12</v>
      </c>
      <c r="DR30" s="111"/>
      <c r="DS30" s="111"/>
      <c r="DT30" s="111"/>
      <c r="DU30" s="102"/>
      <c r="DV30" s="102">
        <v>1.0</v>
      </c>
      <c r="DW30" s="102">
        <v>1.0</v>
      </c>
      <c r="DX30" s="102">
        <v>1.0</v>
      </c>
      <c r="DY30" s="104">
        <f>COUNTIF(CW30:DX30,"D")/3</f>
        <v>2</v>
      </c>
      <c r="DZ30" s="104">
        <f>COUNTIF(CW30:DX30,"D")/3</f>
        <v>2</v>
      </c>
      <c r="EA30" s="102"/>
      <c r="EB30" s="106"/>
      <c r="EC30" s="105"/>
      <c r="ED30" s="111"/>
      <c r="EE30" s="102">
        <v>1.0</v>
      </c>
      <c r="EF30" s="102">
        <v>1.0</v>
      </c>
      <c r="EG30" s="102">
        <v>1.0</v>
      </c>
      <c r="EH30" s="102"/>
      <c r="EI30" s="102"/>
      <c r="EJ30" s="102"/>
      <c r="EK30" s="102"/>
      <c r="EL30" s="102">
        <v>2.0</v>
      </c>
      <c r="EM30" s="102">
        <v>2.0</v>
      </c>
      <c r="EN30" s="102">
        <v>2.0</v>
      </c>
      <c r="EO30" s="102"/>
      <c r="EP30" s="102"/>
      <c r="EQ30" s="102"/>
      <c r="ER30" s="102"/>
      <c r="ES30" s="102" t="s">
        <v>12</v>
      </c>
      <c r="ET30" s="102" t="s">
        <v>12</v>
      </c>
      <c r="EU30" s="102" t="s">
        <v>12</v>
      </c>
      <c r="EV30" s="156"/>
      <c r="EW30" s="102"/>
      <c r="EX30" s="102"/>
      <c r="EY30" s="102"/>
      <c r="EZ30" s="102" t="s">
        <v>12</v>
      </c>
      <c r="FA30" s="102" t="s">
        <v>12</v>
      </c>
      <c r="FB30" s="102" t="s">
        <v>12</v>
      </c>
      <c r="FC30" s="104">
        <f>COUNTIF(EA30:FB30,"D")/3</f>
        <v>2</v>
      </c>
      <c r="FD30" s="104">
        <f>COUNTIF(EA30:FB30,"D")/3</f>
        <v>2</v>
      </c>
      <c r="FE30" s="102"/>
      <c r="FF30" s="102"/>
      <c r="FG30" s="102"/>
      <c r="FH30" s="113"/>
      <c r="FI30" s="106" t="s">
        <v>12</v>
      </c>
      <c r="FJ30" s="105" t="s">
        <v>12</v>
      </c>
      <c r="FK30" s="102" t="s">
        <v>12</v>
      </c>
      <c r="FL30" s="102"/>
      <c r="FM30" s="102"/>
      <c r="FN30" s="102"/>
      <c r="FO30" s="102"/>
      <c r="FP30" s="102" t="s">
        <v>12</v>
      </c>
      <c r="FQ30" s="102" t="s">
        <v>12</v>
      </c>
      <c r="FR30" s="102" t="s">
        <v>12</v>
      </c>
      <c r="FS30" s="102"/>
      <c r="FT30" s="112"/>
      <c r="FU30" s="102"/>
      <c r="FV30" s="102"/>
      <c r="FW30" s="102" t="s">
        <v>12</v>
      </c>
      <c r="FX30" s="102" t="s">
        <v>12</v>
      </c>
      <c r="FY30" s="102" t="s">
        <v>12</v>
      </c>
      <c r="FZ30" s="102"/>
      <c r="GA30" s="102"/>
      <c r="GB30" s="102"/>
      <c r="GC30" s="102"/>
      <c r="GD30" s="102" t="s">
        <v>12</v>
      </c>
      <c r="GE30" s="102" t="s">
        <v>12</v>
      </c>
      <c r="GF30" s="102" t="s">
        <v>12</v>
      </c>
      <c r="GG30" s="102"/>
      <c r="GH30" s="102"/>
      <c r="GI30" s="102"/>
      <c r="GJ30" s="111"/>
      <c r="GK30" s="102" t="s">
        <v>12</v>
      </c>
      <c r="GL30" s="102" t="s">
        <v>12</v>
      </c>
      <c r="GM30" s="113" t="s">
        <v>12</v>
      </c>
      <c r="GN30" s="104">
        <f>COUNTIF(FE30:GM30,"D")/3</f>
        <v>5</v>
      </c>
      <c r="GO30" s="104">
        <f>COUNTIF(FE30:GM30,"D")/3</f>
        <v>5</v>
      </c>
      <c r="GP30" s="105"/>
      <c r="GQ30" s="102"/>
      <c r="GR30" s="102"/>
      <c r="GS30" s="102"/>
      <c r="GT30" s="102">
        <v>1.0</v>
      </c>
      <c r="GU30" s="102">
        <v>1.0</v>
      </c>
      <c r="GV30" s="102">
        <v>1.0</v>
      </c>
      <c r="GW30" s="102"/>
      <c r="GX30" s="102"/>
      <c r="GY30" s="102"/>
      <c r="GZ30" s="102"/>
      <c r="HA30" s="102" t="s">
        <v>12</v>
      </c>
      <c r="HB30" s="102" t="s">
        <v>12</v>
      </c>
      <c r="HC30" s="102" t="s">
        <v>12</v>
      </c>
      <c r="HD30" s="102"/>
      <c r="HE30" s="102"/>
      <c r="HF30" s="102"/>
      <c r="HG30" s="102"/>
      <c r="HH30" s="102" t="s">
        <v>12</v>
      </c>
      <c r="HI30" s="102" t="s">
        <v>12</v>
      </c>
      <c r="HJ30" s="102" t="s">
        <v>12</v>
      </c>
      <c r="HK30" s="102"/>
      <c r="HL30" s="102"/>
      <c r="HM30" s="102"/>
      <c r="HN30" s="102"/>
      <c r="HO30" s="102">
        <v>2.0</v>
      </c>
      <c r="HP30" s="102">
        <v>2.0</v>
      </c>
      <c r="HQ30" s="102">
        <v>2.0</v>
      </c>
      <c r="HR30" s="104">
        <f>COUNTIF(GP30:HQ30,"D")/3</f>
        <v>2</v>
      </c>
      <c r="HS30" s="104">
        <f>COUNTIF(GP30:HQ30,"D")/3</f>
        <v>2</v>
      </c>
      <c r="HT30" s="102"/>
      <c r="HU30" s="113"/>
      <c r="HV30" s="106"/>
      <c r="HW30" s="105"/>
      <c r="HX30" s="102" t="s">
        <v>12</v>
      </c>
      <c r="HY30" s="102" t="s">
        <v>12</v>
      </c>
      <c r="HZ30" s="102" t="s">
        <v>12</v>
      </c>
      <c r="IA30" s="102"/>
      <c r="IB30" s="102"/>
      <c r="IC30" s="102"/>
      <c r="ID30" s="102"/>
      <c r="IE30" s="102">
        <v>2.0</v>
      </c>
      <c r="IF30" s="102">
        <v>2.0</v>
      </c>
      <c r="IG30" s="102">
        <v>2.0</v>
      </c>
      <c r="IH30" s="102"/>
      <c r="II30" s="102"/>
      <c r="IJ30" s="102"/>
      <c r="IK30" s="102"/>
      <c r="IL30" s="102" t="s">
        <v>12</v>
      </c>
      <c r="IM30" s="102" t="s">
        <v>12</v>
      </c>
      <c r="IN30" s="102" t="s">
        <v>12</v>
      </c>
      <c r="IO30" s="102"/>
      <c r="IP30" s="102"/>
      <c r="IQ30" s="102"/>
      <c r="IR30" s="102"/>
      <c r="IS30" s="102">
        <v>1.0</v>
      </c>
      <c r="IT30" s="102">
        <v>1.0</v>
      </c>
      <c r="IU30" s="102">
        <v>1.0</v>
      </c>
      <c r="IV30" s="104">
        <f>COUNTIF(HT30:IU30,"D")/3</f>
        <v>2</v>
      </c>
      <c r="IW30" s="104">
        <f>COUNTIF(HT30:IU30,"D")/3</f>
        <v>2</v>
      </c>
      <c r="IX30" s="102"/>
      <c r="IY30" s="102"/>
      <c r="IZ30" s="102"/>
      <c r="JA30" s="102"/>
      <c r="JB30" s="113" t="s">
        <v>12</v>
      </c>
      <c r="JC30" s="106" t="s">
        <v>12</v>
      </c>
      <c r="JD30" s="105" t="s">
        <v>12</v>
      </c>
      <c r="JE30" s="102"/>
      <c r="JF30" s="102"/>
      <c r="JG30" s="102"/>
      <c r="JH30" s="102"/>
      <c r="JI30" s="102">
        <v>1.0</v>
      </c>
      <c r="JJ30" s="102">
        <v>1.0</v>
      </c>
      <c r="JK30" s="102">
        <v>1.0</v>
      </c>
      <c r="JL30" s="102"/>
      <c r="JM30" s="102"/>
      <c r="JN30" s="102"/>
      <c r="JO30" s="102"/>
      <c r="JP30" s="102" t="s">
        <v>12</v>
      </c>
      <c r="JQ30" s="102" t="s">
        <v>12</v>
      </c>
      <c r="JR30" s="102" t="s">
        <v>12</v>
      </c>
      <c r="JS30" s="102"/>
      <c r="JT30" s="102"/>
      <c r="JU30" s="102"/>
      <c r="JV30" s="102"/>
      <c r="JW30" s="102">
        <v>2.0</v>
      </c>
      <c r="JX30" s="102">
        <v>2.0</v>
      </c>
      <c r="JY30" s="102">
        <v>2.0</v>
      </c>
      <c r="JZ30" s="102"/>
      <c r="KA30" s="102"/>
      <c r="KB30" s="102"/>
      <c r="KC30" s="102"/>
      <c r="KD30" s="102" t="s">
        <v>12</v>
      </c>
      <c r="KE30" s="102" t="s">
        <v>12</v>
      </c>
      <c r="KF30" s="102" t="s">
        <v>12</v>
      </c>
      <c r="KG30" s="104">
        <f>COUNTIF(IX30:KF30,"D")/3</f>
        <v>3</v>
      </c>
      <c r="KH30" s="104">
        <f>COUNTIF(IX30:KF30,"D")/3</f>
        <v>3</v>
      </c>
      <c r="KI30" s="113"/>
      <c r="KJ30" s="105"/>
      <c r="KK30" s="102"/>
      <c r="KL30" s="102"/>
      <c r="KM30" s="102" t="s">
        <v>12</v>
      </c>
      <c r="KN30" s="102" t="s">
        <v>12</v>
      </c>
      <c r="KO30" s="102" t="s">
        <v>12</v>
      </c>
      <c r="KP30" s="102"/>
      <c r="KQ30" s="102"/>
      <c r="KR30" s="102"/>
      <c r="KS30" s="102"/>
      <c r="KT30" s="102" t="s">
        <v>12</v>
      </c>
      <c r="KU30" s="102" t="s">
        <v>12</v>
      </c>
      <c r="KV30" s="102" t="s">
        <v>12</v>
      </c>
      <c r="KW30" s="102"/>
      <c r="KX30" s="102"/>
      <c r="KY30" s="102"/>
      <c r="KZ30" s="102"/>
      <c r="LA30" s="102" t="s">
        <v>12</v>
      </c>
      <c r="LB30" s="102">
        <v>1.0</v>
      </c>
      <c r="LC30" s="102">
        <v>1.0</v>
      </c>
      <c r="LD30" s="102"/>
      <c r="LE30" s="102"/>
      <c r="LF30" s="102"/>
      <c r="LG30" s="102"/>
      <c r="LH30" s="102">
        <v>2.0</v>
      </c>
      <c r="LI30" s="102">
        <v>2.0</v>
      </c>
      <c r="LJ30" s="102">
        <v>2.0</v>
      </c>
      <c r="LK30" s="104">
        <f>COUNTIF(KI30:LJ30,"D")/3</f>
        <v>2.333333333</v>
      </c>
      <c r="LL30" s="104">
        <f>COUNTIF(KI30:LJ30,"D")/3</f>
        <v>2.333333333</v>
      </c>
      <c r="LM30" s="102"/>
      <c r="LN30" s="102"/>
      <c r="LO30" s="113"/>
      <c r="LP30" s="106"/>
      <c r="LQ30" s="102" t="s">
        <v>12</v>
      </c>
      <c r="LR30" s="102" t="s">
        <v>12</v>
      </c>
      <c r="LS30" s="102" t="s">
        <v>12</v>
      </c>
      <c r="LT30" s="102"/>
      <c r="LU30" s="102"/>
      <c r="LV30" s="102"/>
      <c r="LW30" s="102"/>
      <c r="LX30" s="102">
        <v>1.0</v>
      </c>
      <c r="LY30" s="102" t="s">
        <v>12</v>
      </c>
      <c r="LZ30" s="102" t="s">
        <v>12</v>
      </c>
      <c r="MA30" s="102"/>
      <c r="MB30" s="102"/>
      <c r="MC30" s="102"/>
      <c r="MD30" s="102"/>
      <c r="ME30" s="102">
        <v>1.0</v>
      </c>
      <c r="MF30" s="102">
        <v>1.0</v>
      </c>
      <c r="MG30" s="102">
        <v>1.0</v>
      </c>
      <c r="MH30" s="102"/>
      <c r="MI30" s="102"/>
      <c r="MJ30" s="102"/>
      <c r="MK30" s="102"/>
      <c r="ML30" s="102">
        <v>2.0</v>
      </c>
      <c r="MM30" s="102">
        <v>2.0</v>
      </c>
      <c r="MN30" s="102">
        <v>2.0</v>
      </c>
      <c r="MO30" s="104">
        <f>COUNTIF(LM30:MN30,"D")/3</f>
        <v>1.666666667</v>
      </c>
      <c r="MP30" s="104">
        <f>COUNTIF(LM30:MN30,"D")/3</f>
        <v>1.666666667</v>
      </c>
      <c r="MQ30" s="102"/>
      <c r="MR30" s="102"/>
      <c r="MS30" s="102"/>
      <c r="MT30" s="102"/>
      <c r="MU30" s="102" t="s">
        <v>12</v>
      </c>
      <c r="MV30" s="113" t="s">
        <v>12</v>
      </c>
      <c r="MW30" s="105" t="s">
        <v>12</v>
      </c>
      <c r="MX30" s="102"/>
      <c r="MY30" s="102"/>
      <c r="MZ30" s="102"/>
      <c r="NA30" s="102"/>
      <c r="NB30" s="102" t="s">
        <v>12</v>
      </c>
      <c r="NC30" s="102" t="s">
        <v>12</v>
      </c>
      <c r="ND30" s="102" t="s">
        <v>12</v>
      </c>
      <c r="NE30" s="102"/>
      <c r="NF30" s="102"/>
      <c r="NG30" s="102"/>
      <c r="NH30" s="102"/>
      <c r="NI30" s="102"/>
      <c r="NJ30" s="102"/>
      <c r="NK30" s="102"/>
      <c r="NL30" s="102"/>
      <c r="NM30" s="102"/>
      <c r="NN30" s="102"/>
      <c r="NO30" s="102"/>
      <c r="NP30" s="102"/>
      <c r="NQ30" s="102"/>
      <c r="NR30" s="102"/>
      <c r="NS30" s="102"/>
      <c r="NT30" s="102"/>
      <c r="NU30" s="102"/>
      <c r="NV30" s="102"/>
      <c r="NW30" s="102"/>
      <c r="NX30" s="102"/>
      <c r="NY30" s="102"/>
      <c r="NZ30" s="104">
        <f>COUNTIF(MQ30:NY30,"D")/3</f>
        <v>2</v>
      </c>
      <c r="OA30" s="104">
        <f>COUNTIF(MQ30:NY30,"D")/3</f>
        <v>2</v>
      </c>
      <c r="OB30" s="113"/>
      <c r="OC30" s="106"/>
      <c r="OD30" s="104">
        <f t="shared" ref="OD30:OE30" si="13">SUM(AF30,BJ30,CU30,DY30,FC30,GN30,HR30,IV30,KG30,LK30,MO30,NZ30)</f>
        <v>29.33333333</v>
      </c>
      <c r="OE30" s="104">
        <f t="shared" si="13"/>
        <v>29.33333333</v>
      </c>
    </row>
    <row r="31" ht="26.25" customHeight="1">
      <c r="A31" s="73"/>
      <c r="B31" s="74"/>
      <c r="C31" s="114"/>
      <c r="D31" s="143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7"/>
      <c r="R31" s="136"/>
      <c r="S31" s="136"/>
      <c r="T31" s="136"/>
      <c r="U31" s="136"/>
      <c r="V31" s="136"/>
      <c r="W31" s="136"/>
      <c r="X31" s="136"/>
      <c r="Y31" s="136"/>
      <c r="Z31" s="136"/>
      <c r="AA31" s="116"/>
      <c r="AB31" s="136"/>
      <c r="AC31" s="136"/>
      <c r="AD31" s="136"/>
      <c r="AE31" s="136"/>
      <c r="AF31" s="138"/>
      <c r="AG31" s="138"/>
      <c r="AH31" s="143"/>
      <c r="AI31" s="140"/>
      <c r="AJ31" s="141"/>
      <c r="AK31" s="142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7"/>
      <c r="AY31" s="136"/>
      <c r="AZ31" s="136"/>
      <c r="BA31" s="136"/>
      <c r="BB31" s="136"/>
      <c r="BC31" s="136"/>
      <c r="BD31" s="149"/>
      <c r="BE31" s="136"/>
      <c r="BF31" s="136"/>
      <c r="BG31" s="136"/>
      <c r="BH31" s="136"/>
      <c r="BI31" s="136"/>
      <c r="BJ31" s="138"/>
      <c r="BK31" s="138"/>
      <c r="BL31" s="136"/>
      <c r="BM31" s="136"/>
      <c r="BN31" s="136"/>
      <c r="BO31" s="136"/>
      <c r="BP31" s="115"/>
      <c r="BQ31" s="136"/>
      <c r="BR31" s="11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7"/>
      <c r="CD31" s="136"/>
      <c r="CE31" s="136">
        <v>1.0</v>
      </c>
      <c r="CF31" s="136"/>
      <c r="CG31" s="116"/>
      <c r="CH31" s="136"/>
      <c r="CI31" s="136"/>
      <c r="CJ31" s="136"/>
      <c r="CK31" s="136"/>
      <c r="CL31" s="136"/>
      <c r="CM31" s="136"/>
      <c r="CN31" s="136"/>
      <c r="CO31" s="136"/>
      <c r="CP31" s="136"/>
      <c r="CQ31" s="136"/>
      <c r="CR31" s="136"/>
      <c r="CS31" s="140"/>
      <c r="CT31" s="141"/>
      <c r="CU31" s="138"/>
      <c r="CV31" s="138"/>
      <c r="CW31" s="143"/>
      <c r="CX31" s="136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7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8"/>
      <c r="DZ31" s="138"/>
      <c r="EA31" s="136"/>
      <c r="EB31" s="141"/>
      <c r="EC31" s="115"/>
      <c r="ED31" s="150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50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38"/>
      <c r="FD31" s="138"/>
      <c r="FE31" s="116"/>
      <c r="FF31" s="116"/>
      <c r="FG31" s="116"/>
      <c r="FH31" s="120"/>
      <c r="FI31" s="118"/>
      <c r="FJ31" s="143"/>
      <c r="FK31" s="136"/>
      <c r="FL31" s="136"/>
      <c r="FM31" s="136"/>
      <c r="FN31" s="136"/>
      <c r="FO31" s="136"/>
      <c r="FP31" s="136"/>
      <c r="FQ31" s="136"/>
      <c r="FR31" s="136"/>
      <c r="FS31" s="136"/>
      <c r="FT31" s="136"/>
      <c r="FU31" s="136"/>
      <c r="FV31" s="136"/>
      <c r="FW31" s="137"/>
      <c r="FX31" s="136"/>
      <c r="FY31" s="136"/>
      <c r="FZ31" s="136"/>
      <c r="GA31" s="136"/>
      <c r="GB31" s="136"/>
      <c r="GC31" s="136"/>
      <c r="GD31" s="136"/>
      <c r="GE31" s="136"/>
      <c r="GF31" s="136"/>
      <c r="GG31" s="136"/>
      <c r="GH31" s="136"/>
      <c r="GI31" s="136"/>
      <c r="GJ31" s="136"/>
      <c r="GK31" s="136"/>
      <c r="GL31" s="136"/>
      <c r="GM31" s="140"/>
      <c r="GN31" s="138"/>
      <c r="GO31" s="138"/>
      <c r="GP31" s="143"/>
      <c r="GQ31" s="136"/>
      <c r="GR31" s="136"/>
      <c r="GS31" s="136"/>
      <c r="GT31" s="136"/>
      <c r="GU31" s="136"/>
      <c r="GV31" s="136"/>
      <c r="GW31" s="136"/>
      <c r="GX31" s="136"/>
      <c r="GY31" s="136"/>
      <c r="GZ31" s="136"/>
      <c r="HA31" s="136"/>
      <c r="HB31" s="136"/>
      <c r="HC31" s="137"/>
      <c r="HD31" s="136"/>
      <c r="HE31" s="136"/>
      <c r="HF31" s="136"/>
      <c r="HG31" s="136"/>
      <c r="HH31" s="136"/>
      <c r="HI31" s="136"/>
      <c r="HJ31" s="136"/>
      <c r="HK31" s="136"/>
      <c r="HL31" s="136"/>
      <c r="HM31" s="136"/>
      <c r="HN31" s="136"/>
      <c r="HO31" s="136"/>
      <c r="HP31" s="136"/>
      <c r="HQ31" s="136"/>
      <c r="HR31" s="138"/>
      <c r="HS31" s="138"/>
      <c r="HT31" s="136"/>
      <c r="HU31" s="140"/>
      <c r="HV31" s="141"/>
      <c r="HW31" s="143"/>
      <c r="HX31" s="136"/>
      <c r="HY31" s="136"/>
      <c r="HZ31" s="136"/>
      <c r="IA31" s="136"/>
      <c r="IB31" s="136"/>
      <c r="IC31" s="136"/>
      <c r="ID31" s="136"/>
      <c r="IE31" s="136"/>
      <c r="IF31" s="136"/>
      <c r="IG31" s="136"/>
      <c r="IH31" s="136"/>
      <c r="II31" s="136"/>
      <c r="IJ31" s="137"/>
      <c r="IK31" s="136"/>
      <c r="IL31" s="136"/>
      <c r="IM31" s="136"/>
      <c r="IN31" s="136">
        <v>1.0</v>
      </c>
      <c r="IO31" s="136"/>
      <c r="IP31" s="136"/>
      <c r="IQ31" s="136"/>
      <c r="IR31" s="136"/>
      <c r="IS31" s="136"/>
      <c r="IT31" s="136"/>
      <c r="IU31" s="136"/>
      <c r="IV31" s="138"/>
      <c r="IW31" s="138"/>
      <c r="IX31" s="136"/>
      <c r="IY31" s="136"/>
      <c r="IZ31" s="136"/>
      <c r="JA31" s="136"/>
      <c r="JB31" s="140"/>
      <c r="JC31" s="141"/>
      <c r="JD31" s="143">
        <v>1.0</v>
      </c>
      <c r="JE31" s="136"/>
      <c r="JF31" s="136"/>
      <c r="JG31" s="136"/>
      <c r="JH31" s="136"/>
      <c r="JI31" s="136"/>
      <c r="JJ31" s="136"/>
      <c r="JK31" s="136"/>
      <c r="JL31" s="136"/>
      <c r="JM31" s="136"/>
      <c r="JN31" s="136"/>
      <c r="JO31" s="136"/>
      <c r="JP31" s="136"/>
      <c r="JQ31" s="137"/>
      <c r="JR31" s="136"/>
      <c r="JS31" s="136"/>
      <c r="JT31" s="136"/>
      <c r="JU31" s="136"/>
      <c r="JV31" s="136"/>
      <c r="JW31" s="136"/>
      <c r="JX31" s="136"/>
      <c r="JY31" s="136"/>
      <c r="JZ31" s="136"/>
      <c r="KA31" s="136"/>
      <c r="KB31" s="136"/>
      <c r="KC31" s="136"/>
      <c r="KD31" s="136"/>
      <c r="KE31" s="136"/>
      <c r="KF31" s="136"/>
      <c r="KG31" s="138"/>
      <c r="KH31" s="138"/>
      <c r="KI31" s="140"/>
      <c r="KJ31" s="143"/>
      <c r="KK31" s="136"/>
      <c r="KL31" s="136"/>
      <c r="KM31" s="136"/>
      <c r="KN31" s="136"/>
      <c r="KO31" s="136"/>
      <c r="KP31" s="136"/>
      <c r="KQ31" s="136"/>
      <c r="KR31" s="136"/>
      <c r="KS31" s="136"/>
      <c r="KT31" s="136"/>
      <c r="KU31" s="136"/>
      <c r="KV31" s="136"/>
      <c r="KW31" s="137"/>
      <c r="KX31" s="136"/>
      <c r="KY31" s="136"/>
      <c r="KZ31" s="136"/>
      <c r="LA31" s="136"/>
      <c r="LB31" s="136"/>
      <c r="LC31" s="136"/>
      <c r="LD31" s="136"/>
      <c r="LE31" s="136"/>
      <c r="LF31" s="136"/>
      <c r="LG31" s="136"/>
      <c r="LH31" s="136"/>
      <c r="LI31" s="136"/>
      <c r="LJ31" s="136"/>
      <c r="LK31" s="138"/>
      <c r="LL31" s="138"/>
      <c r="LM31" s="136"/>
      <c r="LN31" s="136"/>
      <c r="LO31" s="140"/>
      <c r="LP31" s="141"/>
      <c r="LQ31" s="136"/>
      <c r="LR31" s="136"/>
      <c r="LS31" s="136"/>
      <c r="LT31" s="136"/>
      <c r="LU31" s="136"/>
      <c r="LV31" s="136"/>
      <c r="LW31" s="136"/>
      <c r="LX31" s="136"/>
      <c r="LY31" s="136"/>
      <c r="LZ31" s="136"/>
      <c r="MA31" s="136"/>
      <c r="MB31" s="136"/>
      <c r="MC31" s="136"/>
      <c r="MD31" s="137"/>
      <c r="ME31" s="136"/>
      <c r="MF31" s="136"/>
      <c r="MG31" s="136"/>
      <c r="MH31" s="136"/>
      <c r="MI31" s="136"/>
      <c r="MJ31" s="136"/>
      <c r="MK31" s="136"/>
      <c r="ML31" s="136"/>
      <c r="MM31" s="136"/>
      <c r="MN31" s="136"/>
      <c r="MO31" s="138"/>
      <c r="MP31" s="138"/>
      <c r="MQ31" s="136"/>
      <c r="MR31" s="136"/>
      <c r="MS31" s="136"/>
      <c r="MT31" s="136"/>
      <c r="MU31" s="136"/>
      <c r="MV31" s="140"/>
      <c r="MW31" s="143"/>
      <c r="MX31" s="136"/>
      <c r="MY31" s="136"/>
      <c r="MZ31" s="136"/>
      <c r="NA31" s="136"/>
      <c r="NB31" s="136"/>
      <c r="NC31" s="136"/>
      <c r="ND31" s="136"/>
      <c r="NE31" s="136"/>
      <c r="NF31" s="136"/>
      <c r="NG31" s="136"/>
      <c r="NH31" s="136"/>
      <c r="NI31" s="136"/>
      <c r="NJ31" s="137"/>
      <c r="NK31" s="136"/>
      <c r="NL31" s="136"/>
      <c r="NM31" s="136"/>
      <c r="NN31" s="136"/>
      <c r="NO31" s="136"/>
      <c r="NP31" s="136"/>
      <c r="NQ31" s="136"/>
      <c r="NR31" s="136"/>
      <c r="NS31" s="136"/>
      <c r="NT31" s="136"/>
      <c r="NU31" s="136"/>
      <c r="NV31" s="136"/>
      <c r="NW31" s="136"/>
      <c r="NX31" s="136"/>
      <c r="NY31" s="136"/>
      <c r="NZ31" s="138"/>
      <c r="OA31" s="138"/>
      <c r="OB31" s="140"/>
      <c r="OC31" s="141"/>
      <c r="OD31" s="138"/>
      <c r="OE31" s="138"/>
    </row>
    <row r="32" ht="26.25" customHeight="1">
      <c r="A32" s="98" t="s">
        <v>83</v>
      </c>
      <c r="B32" s="172" t="s">
        <v>84</v>
      </c>
      <c r="C32" s="100" t="s">
        <v>30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4">
        <f>COUNTIF(D32:AE32,"D")/3</f>
        <v>0</v>
      </c>
      <c r="AG32" s="104">
        <f>COUNTIF(D32:AE32,"D")/3</f>
        <v>0</v>
      </c>
      <c r="AH32" s="105"/>
      <c r="AI32" s="113"/>
      <c r="AJ32" s="106"/>
      <c r="AK32" s="107"/>
      <c r="AL32" s="102"/>
      <c r="AM32" s="102"/>
      <c r="AN32" s="102"/>
      <c r="AO32" s="111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4">
        <f>COUNTIF(AH32:BI32,"D")/3</f>
        <v>0</v>
      </c>
      <c r="BK32" s="104">
        <f>COUNTIF(AH32:BI32,"D")/3</f>
        <v>0</v>
      </c>
      <c r="BL32" s="102"/>
      <c r="BM32" s="102"/>
      <c r="BN32" s="102"/>
      <c r="BO32" s="102"/>
      <c r="BP32" s="105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11"/>
      <c r="CD32" s="102"/>
      <c r="CE32" s="102"/>
      <c r="CF32" s="111"/>
      <c r="CG32" s="102"/>
      <c r="CH32" s="102"/>
      <c r="CI32" s="102"/>
      <c r="CJ32" s="102"/>
      <c r="CK32" s="102"/>
      <c r="CL32" s="111"/>
      <c r="CM32" s="102"/>
      <c r="CN32" s="102"/>
      <c r="CO32" s="102"/>
      <c r="CP32" s="102"/>
      <c r="CQ32" s="102"/>
      <c r="CR32" s="102"/>
      <c r="CS32" s="154"/>
      <c r="CT32" s="106"/>
      <c r="CU32" s="104">
        <f>COUNTIF(BL32:CT32,"D")/3</f>
        <v>0</v>
      </c>
      <c r="CV32" s="104">
        <f>COUNTIF(BL32:CT32,"D")/3</f>
        <v>0</v>
      </c>
      <c r="CW32" s="105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4">
        <f>COUNTIF(CW32:DX32,"D")/3</f>
        <v>0</v>
      </c>
      <c r="DZ32" s="104">
        <f>COUNTIF(CW32:DX32,"D")/3</f>
        <v>0</v>
      </c>
      <c r="EA32" s="112"/>
      <c r="EB32" s="106"/>
      <c r="EC32" s="105"/>
      <c r="ED32" s="111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4">
        <f>COUNTIF(EA32:FB32,"D")/3</f>
        <v>0</v>
      </c>
      <c r="FD32" s="104">
        <f>COUNTIF(EA32:FB32,"D")/3</f>
        <v>0</v>
      </c>
      <c r="FE32" s="102"/>
      <c r="FF32" s="102"/>
      <c r="FG32" s="102"/>
      <c r="FH32" s="113"/>
      <c r="FI32" s="106"/>
      <c r="FJ32" s="105"/>
      <c r="FK32" s="111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 t="s">
        <v>12</v>
      </c>
      <c r="GL32" s="102">
        <v>3.0</v>
      </c>
      <c r="GM32" s="113">
        <v>3.0</v>
      </c>
      <c r="GN32" s="104">
        <f>COUNTIF(FE32:GM32,"D")/3</f>
        <v>0.3333333333</v>
      </c>
      <c r="GO32" s="104">
        <f>COUNTIF(FE32:GM32,"D")/3</f>
        <v>0.3333333333</v>
      </c>
      <c r="GP32" s="105"/>
      <c r="GQ32" s="102"/>
      <c r="GR32" s="102"/>
      <c r="GS32" s="102"/>
      <c r="GT32" s="102">
        <v>2.0</v>
      </c>
      <c r="GU32" s="102">
        <v>2.0</v>
      </c>
      <c r="GV32" s="102">
        <v>2.0</v>
      </c>
      <c r="GW32" s="102"/>
      <c r="GX32" s="102"/>
      <c r="GY32" s="102"/>
      <c r="GZ32" s="102"/>
      <c r="HA32" s="102" t="s">
        <v>12</v>
      </c>
      <c r="HB32" s="102" t="s">
        <v>12</v>
      </c>
      <c r="HC32" s="102" t="s">
        <v>12</v>
      </c>
      <c r="HD32" s="102"/>
      <c r="HE32" s="102"/>
      <c r="HF32" s="102"/>
      <c r="HG32" s="102"/>
      <c r="HH32" s="102">
        <v>3.0</v>
      </c>
      <c r="HI32" s="102">
        <v>3.0</v>
      </c>
      <c r="HJ32" s="102">
        <v>3.0</v>
      </c>
      <c r="HK32" s="102"/>
      <c r="HL32" s="102"/>
      <c r="HM32" s="102"/>
      <c r="HN32" s="102"/>
      <c r="HO32" s="102" t="s">
        <v>12</v>
      </c>
      <c r="HP32" s="102" t="s">
        <v>12</v>
      </c>
      <c r="HQ32" s="102" t="s">
        <v>12</v>
      </c>
      <c r="HR32" s="104">
        <f>COUNTIF(GP32:HQ32,"D")/3</f>
        <v>2</v>
      </c>
      <c r="HS32" s="104">
        <f>COUNTIF(GP32:HQ32,"D")/3</f>
        <v>2</v>
      </c>
      <c r="HT32" s="102"/>
      <c r="HU32" s="113"/>
      <c r="HV32" s="106"/>
      <c r="HW32" s="105"/>
      <c r="HX32" s="102" t="s">
        <v>12</v>
      </c>
      <c r="HY32" s="102" t="s">
        <v>12</v>
      </c>
      <c r="HZ32" s="102" t="s">
        <v>12</v>
      </c>
      <c r="IA32" s="102"/>
      <c r="IB32" s="102"/>
      <c r="IC32" s="102"/>
      <c r="ID32" s="102"/>
      <c r="IE32" s="102" t="s">
        <v>12</v>
      </c>
      <c r="IF32" s="102" t="s">
        <v>12</v>
      </c>
      <c r="IG32" s="102" t="s">
        <v>12</v>
      </c>
      <c r="IH32" s="102"/>
      <c r="II32" s="102"/>
      <c r="IJ32" s="102"/>
      <c r="IK32" s="102"/>
      <c r="IL32" s="102">
        <v>2.0</v>
      </c>
      <c r="IM32" s="102">
        <v>2.0</v>
      </c>
      <c r="IN32" s="102">
        <v>2.0</v>
      </c>
      <c r="IO32" s="102"/>
      <c r="IP32" s="102"/>
      <c r="IQ32" s="102"/>
      <c r="IR32" s="102"/>
      <c r="IS32" s="102">
        <v>3.0</v>
      </c>
      <c r="IT32" s="102">
        <v>3.0</v>
      </c>
      <c r="IU32" s="102">
        <v>3.0</v>
      </c>
      <c r="IV32" s="104">
        <f>COUNTIF(HT32:IU32,"D")/3</f>
        <v>2</v>
      </c>
      <c r="IW32" s="104">
        <f>COUNTIF(HT32:IU32,"D")/3</f>
        <v>2</v>
      </c>
      <c r="IX32" s="102"/>
      <c r="IY32" s="102"/>
      <c r="IZ32" s="102"/>
      <c r="JA32" s="102"/>
      <c r="JB32" s="113">
        <v>1.0</v>
      </c>
      <c r="JC32" s="106">
        <v>1.0</v>
      </c>
      <c r="JD32" s="105"/>
      <c r="JE32" s="102"/>
      <c r="JF32" s="102"/>
      <c r="JG32" s="102"/>
      <c r="JH32" s="102"/>
      <c r="JI32" s="102">
        <v>3.0</v>
      </c>
      <c r="JJ32" s="102">
        <v>3.0</v>
      </c>
      <c r="JK32" s="102">
        <v>3.0</v>
      </c>
      <c r="JL32" s="102"/>
      <c r="JM32" s="102"/>
      <c r="JN32" s="102"/>
      <c r="JO32" s="102"/>
      <c r="JP32" s="102">
        <v>2.0</v>
      </c>
      <c r="JQ32" s="102">
        <v>2.0</v>
      </c>
      <c r="JR32" s="102">
        <v>2.0</v>
      </c>
      <c r="JS32" s="102"/>
      <c r="JT32" s="102"/>
      <c r="JU32" s="102"/>
      <c r="JV32" s="102"/>
      <c r="JW32" s="102" t="s">
        <v>12</v>
      </c>
      <c r="JX32" s="102" t="s">
        <v>12</v>
      </c>
      <c r="JY32" s="102" t="s">
        <v>12</v>
      </c>
      <c r="JZ32" s="102"/>
      <c r="KA32" s="102"/>
      <c r="KB32" s="102"/>
      <c r="KC32" s="102"/>
      <c r="KD32" s="102" t="s">
        <v>12</v>
      </c>
      <c r="KE32" s="102" t="s">
        <v>12</v>
      </c>
      <c r="KF32" s="102" t="s">
        <v>12</v>
      </c>
      <c r="KG32" s="104">
        <f>COUNTIF(IX32:KF32,"D")/3</f>
        <v>2</v>
      </c>
      <c r="KH32" s="104">
        <f>COUNTIF(IX32:KF32,"D")/3</f>
        <v>2</v>
      </c>
      <c r="KI32" s="113"/>
      <c r="KJ32" s="105"/>
      <c r="KK32" s="102"/>
      <c r="KL32" s="102"/>
      <c r="KM32" s="102"/>
      <c r="KN32" s="102"/>
      <c r="KO32" s="102"/>
      <c r="KP32" s="102"/>
      <c r="KQ32" s="102"/>
      <c r="KR32" s="102"/>
      <c r="KS32" s="102"/>
      <c r="KT32" s="102"/>
      <c r="KU32" s="102"/>
      <c r="KV32" s="102"/>
      <c r="KW32" s="102"/>
      <c r="KX32" s="102"/>
      <c r="KY32" s="102"/>
      <c r="KZ32" s="102"/>
      <c r="LA32" s="102"/>
      <c r="LB32" s="102"/>
      <c r="LC32" s="102"/>
      <c r="LD32" s="102"/>
      <c r="LE32" s="102"/>
      <c r="LF32" s="102"/>
      <c r="LG32" s="102"/>
      <c r="LH32" s="102"/>
      <c r="LI32" s="102"/>
      <c r="LJ32" s="102"/>
      <c r="LK32" s="104">
        <f>COUNTIF(KI32:LJ32,"D")/3</f>
        <v>0</v>
      </c>
      <c r="LL32" s="104">
        <f>COUNTIF(KI32:LJ32,"D")/3</f>
        <v>0</v>
      </c>
      <c r="LM32" s="102"/>
      <c r="LN32" s="102"/>
      <c r="LO32" s="113"/>
      <c r="LP32" s="106"/>
      <c r="LQ32" s="102">
        <v>1.0</v>
      </c>
      <c r="LR32" s="102" t="s">
        <v>12</v>
      </c>
      <c r="LS32" s="102" t="s">
        <v>12</v>
      </c>
      <c r="LT32" s="102"/>
      <c r="LU32" s="102"/>
      <c r="LV32" s="102"/>
      <c r="LW32" s="102"/>
      <c r="LX32" s="102" t="s">
        <v>12</v>
      </c>
      <c r="LY32" s="102" t="s">
        <v>12</v>
      </c>
      <c r="LZ32" s="102" t="s">
        <v>12</v>
      </c>
      <c r="MA32" s="102"/>
      <c r="MB32" s="102"/>
      <c r="MC32" s="102"/>
      <c r="MD32" s="102"/>
      <c r="ME32" s="102"/>
      <c r="MF32" s="102">
        <v>3.0</v>
      </c>
      <c r="MG32" s="102">
        <v>3.0</v>
      </c>
      <c r="MH32" s="102"/>
      <c r="MI32" s="102"/>
      <c r="MJ32" s="102"/>
      <c r="MK32" s="102"/>
      <c r="ML32" s="102">
        <v>1.0</v>
      </c>
      <c r="MM32" s="102">
        <v>1.0</v>
      </c>
      <c r="MN32" s="102">
        <v>1.0</v>
      </c>
      <c r="MO32" s="104">
        <f>COUNTIF(LM32:MN32,"D")/3</f>
        <v>1.666666667</v>
      </c>
      <c r="MP32" s="104">
        <f>COUNTIF(LM32:MN32,"D")/3</f>
        <v>1.666666667</v>
      </c>
      <c r="MQ32" s="102"/>
      <c r="MR32" s="102"/>
      <c r="MS32" s="102"/>
      <c r="MT32" s="102"/>
      <c r="MU32" s="102">
        <v>3.0</v>
      </c>
      <c r="MV32" s="113">
        <v>3.0</v>
      </c>
      <c r="MW32" s="105">
        <v>3.0</v>
      </c>
      <c r="MX32" s="102"/>
      <c r="MY32" s="102"/>
      <c r="MZ32" s="102"/>
      <c r="NA32" s="102"/>
      <c r="NB32" s="102" t="s">
        <v>12</v>
      </c>
      <c r="NC32" s="102" t="s">
        <v>12</v>
      </c>
      <c r="ND32" s="102" t="s">
        <v>12</v>
      </c>
      <c r="NE32" s="102"/>
      <c r="NF32" s="102"/>
      <c r="NG32" s="102"/>
      <c r="NH32" s="102"/>
      <c r="NI32" s="102" t="s">
        <v>12</v>
      </c>
      <c r="NJ32" s="102" t="s">
        <v>12</v>
      </c>
      <c r="NK32" s="102" t="s">
        <v>12</v>
      </c>
      <c r="NL32" s="102"/>
      <c r="NM32" s="102"/>
      <c r="NN32" s="102"/>
      <c r="NO32" s="102"/>
      <c r="NP32" s="102"/>
      <c r="NQ32" s="102"/>
      <c r="NR32" s="102"/>
      <c r="NS32" s="102"/>
      <c r="NT32" s="102"/>
      <c r="NU32" s="102"/>
      <c r="NV32" s="102"/>
      <c r="NW32" s="102"/>
      <c r="NX32" s="102"/>
      <c r="NY32" s="102"/>
      <c r="NZ32" s="104">
        <f>COUNTIF(MQ32:NY32,"D")/3</f>
        <v>2</v>
      </c>
      <c r="OA32" s="104">
        <f>COUNTIF(MQ32:NY32,"D")/3</f>
        <v>2</v>
      </c>
      <c r="OB32" s="113"/>
      <c r="OC32" s="106"/>
      <c r="OD32" s="104">
        <f t="shared" ref="OD32:OE32" si="14">SUM(AF32,BJ32,CU32,DY32,FC32,GN32,HR32,IV32,KG32,LK32,MO32,NZ32)</f>
        <v>10</v>
      </c>
      <c r="OE32" s="104">
        <f t="shared" si="14"/>
        <v>10</v>
      </c>
    </row>
    <row r="33" ht="26.25" customHeight="1">
      <c r="A33" s="73"/>
      <c r="B33" s="74"/>
      <c r="C33" s="114"/>
      <c r="D33" s="143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7"/>
      <c r="R33" s="136"/>
      <c r="S33" s="136"/>
      <c r="T33" s="136"/>
      <c r="U33" s="136"/>
      <c r="V33" s="136"/>
      <c r="W33" s="136"/>
      <c r="X33" s="136"/>
      <c r="Y33" s="136"/>
      <c r="Z33" s="157"/>
      <c r="AA33" s="136"/>
      <c r="AB33" s="136"/>
      <c r="AC33" s="136"/>
      <c r="AD33" s="136"/>
      <c r="AE33" s="136"/>
      <c r="AF33" s="138"/>
      <c r="AG33" s="138"/>
      <c r="AH33" s="143"/>
      <c r="AI33" s="140"/>
      <c r="AJ33" s="141"/>
      <c r="AK33" s="142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7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8"/>
      <c r="BK33" s="138"/>
      <c r="BL33" s="136"/>
      <c r="BM33" s="136"/>
      <c r="BN33" s="136"/>
      <c r="BO33" s="136"/>
      <c r="BP33" s="143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16"/>
      <c r="CG33" s="136"/>
      <c r="CH33" s="136"/>
      <c r="CI33" s="136"/>
      <c r="CJ33" s="136"/>
      <c r="CK33" s="136"/>
      <c r="CL33" s="116"/>
      <c r="CM33" s="136"/>
      <c r="CN33" s="136"/>
      <c r="CO33" s="136"/>
      <c r="CP33" s="136"/>
      <c r="CQ33" s="136"/>
      <c r="CR33" s="136"/>
      <c r="CS33" s="120"/>
      <c r="CT33" s="141"/>
      <c r="CU33" s="138"/>
      <c r="CV33" s="138"/>
      <c r="CW33" s="143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7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8"/>
      <c r="DZ33" s="138"/>
      <c r="EA33" s="136"/>
      <c r="EB33" s="141"/>
      <c r="EC33" s="115"/>
      <c r="ED33" s="116"/>
      <c r="EE33" s="116"/>
      <c r="EF33" s="116"/>
      <c r="EG33" s="116"/>
      <c r="EH33" s="116"/>
      <c r="EI33" s="116"/>
      <c r="EJ33" s="116"/>
      <c r="EK33" s="116"/>
      <c r="EL33" s="116"/>
      <c r="EM33" s="116"/>
      <c r="EN33" s="116"/>
      <c r="EO33" s="116"/>
      <c r="EP33" s="150"/>
      <c r="EQ33" s="116"/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38"/>
      <c r="FD33" s="138"/>
      <c r="FE33" s="116"/>
      <c r="FF33" s="116"/>
      <c r="FG33" s="116"/>
      <c r="FH33" s="120"/>
      <c r="FI33" s="118"/>
      <c r="FJ33" s="143"/>
      <c r="FK33" s="11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40"/>
      <c r="GN33" s="138"/>
      <c r="GO33" s="138"/>
      <c r="GP33" s="143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7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6"/>
      <c r="HR33" s="138"/>
      <c r="HS33" s="138"/>
      <c r="HT33" s="136"/>
      <c r="HU33" s="140"/>
      <c r="HV33" s="141"/>
      <c r="HW33" s="143"/>
      <c r="HX33" s="136"/>
      <c r="HY33" s="136"/>
      <c r="HZ33" s="136"/>
      <c r="IA33" s="136"/>
      <c r="IB33" s="136"/>
      <c r="IC33" s="136"/>
      <c r="ID33" s="136"/>
      <c r="IE33" s="136"/>
      <c r="IF33" s="136"/>
      <c r="IG33" s="136"/>
      <c r="IH33" s="136"/>
      <c r="II33" s="136"/>
      <c r="IJ33" s="137"/>
      <c r="IK33" s="136"/>
      <c r="IL33" s="136"/>
      <c r="IM33" s="136"/>
      <c r="IN33" s="136"/>
      <c r="IO33" s="136"/>
      <c r="IP33" s="136"/>
      <c r="IQ33" s="136"/>
      <c r="IR33" s="136"/>
      <c r="IS33" s="136"/>
      <c r="IT33" s="136"/>
      <c r="IU33" s="136"/>
      <c r="IV33" s="138"/>
      <c r="IW33" s="138"/>
      <c r="IX33" s="136"/>
      <c r="IY33" s="136"/>
      <c r="IZ33" s="136"/>
      <c r="JA33" s="136"/>
      <c r="JB33" s="140"/>
      <c r="JC33" s="141"/>
      <c r="JD33" s="143"/>
      <c r="JE33" s="136"/>
      <c r="JF33" s="136"/>
      <c r="JG33" s="136"/>
      <c r="JH33" s="136"/>
      <c r="JI33" s="136"/>
      <c r="JJ33" s="136"/>
      <c r="JK33" s="136"/>
      <c r="JL33" s="136"/>
      <c r="JM33" s="136"/>
      <c r="JN33" s="136"/>
      <c r="JO33" s="136"/>
      <c r="JP33" s="136"/>
      <c r="JQ33" s="137"/>
      <c r="JR33" s="136"/>
      <c r="JS33" s="136"/>
      <c r="JT33" s="136"/>
      <c r="JU33" s="136"/>
      <c r="JV33" s="136"/>
      <c r="JW33" s="136">
        <v>1.0</v>
      </c>
      <c r="JX33" s="136"/>
      <c r="JY33" s="136"/>
      <c r="JZ33" s="136"/>
      <c r="KA33" s="136"/>
      <c r="KB33" s="136"/>
      <c r="KC33" s="136"/>
      <c r="KD33" s="136"/>
      <c r="KE33" s="136"/>
      <c r="KF33" s="136"/>
      <c r="KG33" s="138"/>
      <c r="KH33" s="138"/>
      <c r="KI33" s="140"/>
      <c r="KJ33" s="143"/>
      <c r="KK33" s="136"/>
      <c r="KL33" s="136"/>
      <c r="KM33" s="136"/>
      <c r="KN33" s="136"/>
      <c r="KO33" s="136"/>
      <c r="KP33" s="136"/>
      <c r="KQ33" s="136"/>
      <c r="KR33" s="136"/>
      <c r="KS33" s="136"/>
      <c r="KT33" s="136"/>
      <c r="KU33" s="136"/>
      <c r="KV33" s="136"/>
      <c r="KW33" s="137"/>
      <c r="KX33" s="136"/>
      <c r="KY33" s="136"/>
      <c r="KZ33" s="136"/>
      <c r="LA33" s="136"/>
      <c r="LB33" s="136"/>
      <c r="LC33" s="136"/>
      <c r="LD33" s="136"/>
      <c r="LE33" s="136"/>
      <c r="LF33" s="136"/>
      <c r="LG33" s="136"/>
      <c r="LH33" s="136"/>
      <c r="LI33" s="136"/>
      <c r="LJ33" s="136"/>
      <c r="LK33" s="138"/>
      <c r="LL33" s="138"/>
      <c r="LM33" s="136"/>
      <c r="LN33" s="136"/>
      <c r="LO33" s="140"/>
      <c r="LP33" s="141"/>
      <c r="LQ33" s="136"/>
      <c r="LR33" s="136"/>
      <c r="LS33" s="136"/>
      <c r="LT33" s="136"/>
      <c r="LU33" s="136"/>
      <c r="LV33" s="136"/>
      <c r="LW33" s="136"/>
      <c r="LX33" s="136"/>
      <c r="LY33" s="136"/>
      <c r="LZ33" s="136"/>
      <c r="MA33" s="136"/>
      <c r="MB33" s="136"/>
      <c r="MC33" s="136"/>
      <c r="MD33" s="137"/>
      <c r="ME33" s="136"/>
      <c r="MF33" s="136"/>
      <c r="MG33" s="136"/>
      <c r="MH33" s="136"/>
      <c r="MI33" s="136"/>
      <c r="MJ33" s="136"/>
      <c r="MK33" s="136"/>
      <c r="ML33" s="136"/>
      <c r="MM33" s="136"/>
      <c r="MN33" s="136"/>
      <c r="MO33" s="138"/>
      <c r="MP33" s="138"/>
      <c r="MQ33" s="136"/>
      <c r="MR33" s="136"/>
      <c r="MS33" s="136"/>
      <c r="MT33" s="136"/>
      <c r="MU33" s="136"/>
      <c r="MV33" s="140"/>
      <c r="MW33" s="143"/>
      <c r="MX33" s="136"/>
      <c r="MY33" s="136"/>
      <c r="MZ33" s="136"/>
      <c r="NA33" s="136"/>
      <c r="NB33" s="136"/>
      <c r="NC33" s="136"/>
      <c r="ND33" s="136"/>
      <c r="NE33" s="136"/>
      <c r="NF33" s="136"/>
      <c r="NG33" s="136"/>
      <c r="NH33" s="136"/>
      <c r="NI33" s="136"/>
      <c r="NJ33" s="137"/>
      <c r="NK33" s="136"/>
      <c r="NL33" s="136"/>
      <c r="NM33" s="136"/>
      <c r="NN33" s="136"/>
      <c r="NO33" s="136"/>
      <c r="NP33" s="136"/>
      <c r="NQ33" s="136"/>
      <c r="NR33" s="136"/>
      <c r="NS33" s="136"/>
      <c r="NT33" s="136"/>
      <c r="NU33" s="136"/>
      <c r="NV33" s="136"/>
      <c r="NW33" s="136"/>
      <c r="NX33" s="136"/>
      <c r="NY33" s="136"/>
      <c r="NZ33" s="138"/>
      <c r="OA33" s="138"/>
      <c r="OB33" s="140"/>
      <c r="OC33" s="141"/>
      <c r="OD33" s="138"/>
      <c r="OE33" s="138"/>
    </row>
    <row r="34" ht="26.25" customHeight="1">
      <c r="A34" s="121" t="s">
        <v>85</v>
      </c>
      <c r="B34" s="122" t="s">
        <v>86</v>
      </c>
      <c r="C34" s="123" t="s">
        <v>34</v>
      </c>
      <c r="D34" s="102"/>
      <c r="E34" s="102"/>
      <c r="F34" s="102"/>
      <c r="G34" s="102"/>
      <c r="H34" s="102" t="s">
        <v>12</v>
      </c>
      <c r="I34" s="102" t="s">
        <v>12</v>
      </c>
      <c r="J34" s="102" t="s">
        <v>12</v>
      </c>
      <c r="K34" s="102"/>
      <c r="L34" s="102"/>
      <c r="M34" s="102"/>
      <c r="N34" s="102"/>
      <c r="O34" s="102" t="s">
        <v>12</v>
      </c>
      <c r="P34" s="102" t="s">
        <v>12</v>
      </c>
      <c r="Q34" s="102" t="s">
        <v>12</v>
      </c>
      <c r="R34" s="102"/>
      <c r="S34" s="102"/>
      <c r="T34" s="102"/>
      <c r="U34" s="102"/>
      <c r="V34" s="102">
        <v>3.0</v>
      </c>
      <c r="W34" s="102">
        <v>3.0</v>
      </c>
      <c r="X34" s="102"/>
      <c r="Y34" s="102"/>
      <c r="Z34" s="102"/>
      <c r="AA34" s="102"/>
      <c r="AB34" s="102"/>
      <c r="AC34" s="102">
        <v>1.0</v>
      </c>
      <c r="AD34" s="102">
        <v>1.0</v>
      </c>
      <c r="AE34" s="102">
        <v>1.0</v>
      </c>
      <c r="AF34" s="104">
        <f>COUNTIF(D34:AE34,"D")/3</f>
        <v>2</v>
      </c>
      <c r="AG34" s="104">
        <f>COUNTIF(D34:AE34,"D")/3</f>
        <v>2</v>
      </c>
      <c r="AH34" s="105"/>
      <c r="AI34" s="113"/>
      <c r="AJ34" s="106"/>
      <c r="AK34" s="107"/>
      <c r="AL34" s="102" t="s">
        <v>12</v>
      </c>
      <c r="AM34" s="102" t="s">
        <v>12</v>
      </c>
      <c r="AN34" s="102" t="s">
        <v>12</v>
      </c>
      <c r="AO34" s="111"/>
      <c r="AP34" s="102"/>
      <c r="AQ34" s="102"/>
      <c r="AR34" s="102"/>
      <c r="AS34" s="102" t="s">
        <v>12</v>
      </c>
      <c r="AT34" s="102" t="s">
        <v>12</v>
      </c>
      <c r="AU34" s="102" t="s">
        <v>12</v>
      </c>
      <c r="AV34" s="102"/>
      <c r="AW34" s="102"/>
      <c r="AX34" s="102"/>
      <c r="AY34" s="102"/>
      <c r="AZ34" s="102">
        <v>2.0</v>
      </c>
      <c r="BA34" s="102">
        <v>2.0</v>
      </c>
      <c r="BB34" s="102">
        <v>2.0</v>
      </c>
      <c r="BC34" s="102"/>
      <c r="BD34" s="102"/>
      <c r="BE34" s="102"/>
      <c r="BF34" s="102"/>
      <c r="BG34" s="102">
        <v>3.0</v>
      </c>
      <c r="BH34" s="102">
        <v>3.0</v>
      </c>
      <c r="BI34" s="102"/>
      <c r="BJ34" s="104">
        <f>COUNTIF(AH34:BI34,"D")/3</f>
        <v>2</v>
      </c>
      <c r="BK34" s="104">
        <f>COUNTIF(AH34:BI34,"D")/3</f>
        <v>2</v>
      </c>
      <c r="BL34" s="102"/>
      <c r="BM34" s="102"/>
      <c r="BN34" s="102"/>
      <c r="BO34" s="102"/>
      <c r="BP34" s="105" t="s">
        <v>12</v>
      </c>
      <c r="BQ34" s="102" t="s">
        <v>12</v>
      </c>
      <c r="BR34" s="102" t="s">
        <v>12</v>
      </c>
      <c r="BS34" s="102"/>
      <c r="BT34" s="102"/>
      <c r="BU34" s="102"/>
      <c r="BV34" s="102"/>
      <c r="BW34" s="102" t="s">
        <v>12</v>
      </c>
      <c r="BX34" s="102" t="s">
        <v>12</v>
      </c>
      <c r="BY34" s="102" t="s">
        <v>12</v>
      </c>
      <c r="BZ34" s="102"/>
      <c r="CA34" s="102"/>
      <c r="CB34" s="102"/>
      <c r="CC34" s="111"/>
      <c r="CD34" s="102" t="s">
        <v>21</v>
      </c>
      <c r="CE34" s="102" t="s">
        <v>12</v>
      </c>
      <c r="CF34" s="102" t="s">
        <v>12</v>
      </c>
      <c r="CG34" s="102"/>
      <c r="CH34" s="102"/>
      <c r="CI34" s="102"/>
      <c r="CJ34" s="102"/>
      <c r="CK34" s="102">
        <v>3.0</v>
      </c>
      <c r="CL34" s="102">
        <v>3.0</v>
      </c>
      <c r="CM34" s="102">
        <v>3.0</v>
      </c>
      <c r="CN34" s="102"/>
      <c r="CO34" s="102"/>
      <c r="CP34" s="102"/>
      <c r="CQ34" s="102"/>
      <c r="CR34" s="102">
        <v>1.0</v>
      </c>
      <c r="CS34" s="102">
        <v>1.0</v>
      </c>
      <c r="CT34" s="106">
        <v>1.0</v>
      </c>
      <c r="CU34" s="104">
        <f>COUNTIF(BL34:CT34,"D")/3</f>
        <v>2.666666667</v>
      </c>
      <c r="CV34" s="104">
        <f>COUNTIF(BL34:CT34,"D")/3</f>
        <v>2.666666667</v>
      </c>
      <c r="CW34" s="105"/>
      <c r="CX34" s="102"/>
      <c r="CY34" s="102"/>
      <c r="CZ34" s="102"/>
      <c r="DA34" s="102" t="s">
        <v>12</v>
      </c>
      <c r="DB34" s="102" t="s">
        <v>12</v>
      </c>
      <c r="DC34" s="102" t="s">
        <v>12</v>
      </c>
      <c r="DD34" s="102"/>
      <c r="DE34" s="102"/>
      <c r="DF34" s="102"/>
      <c r="DG34" s="102"/>
      <c r="DH34" s="102">
        <v>3.0</v>
      </c>
      <c r="DI34" s="102">
        <v>3.0</v>
      </c>
      <c r="DJ34" s="102">
        <v>3.0</v>
      </c>
      <c r="DK34" s="102"/>
      <c r="DL34" s="102"/>
      <c r="DM34" s="102"/>
      <c r="DN34" s="102"/>
      <c r="DO34" s="102" t="s">
        <v>21</v>
      </c>
      <c r="DP34" s="102">
        <v>1.0</v>
      </c>
      <c r="DQ34" s="102">
        <v>1.0</v>
      </c>
      <c r="DR34" s="102"/>
      <c r="DS34" s="102"/>
      <c r="DT34" s="102"/>
      <c r="DU34" s="102"/>
      <c r="DV34" s="102" t="s">
        <v>12</v>
      </c>
      <c r="DW34" s="102" t="s">
        <v>12</v>
      </c>
      <c r="DX34" s="102" t="s">
        <v>12</v>
      </c>
      <c r="DY34" s="104">
        <f>COUNTIF(CW34:DX34,"D")/3</f>
        <v>2</v>
      </c>
      <c r="DZ34" s="104">
        <f>COUNTIF(CW34:DX34,"D")/3</f>
        <v>2</v>
      </c>
      <c r="EA34" s="112"/>
      <c r="EB34" s="106"/>
      <c r="EC34" s="105"/>
      <c r="ED34" s="111"/>
      <c r="EE34" s="102" t="s">
        <v>12</v>
      </c>
      <c r="EF34" s="102" t="s">
        <v>12</v>
      </c>
      <c r="EG34" s="102" t="s">
        <v>12</v>
      </c>
      <c r="EH34" s="102"/>
      <c r="EI34" s="102"/>
      <c r="EJ34" s="102"/>
      <c r="EK34" s="102"/>
      <c r="EL34" s="102">
        <v>3.0</v>
      </c>
      <c r="EM34" s="102">
        <v>3.0</v>
      </c>
      <c r="EN34" s="102">
        <v>3.0</v>
      </c>
      <c r="EO34" s="102"/>
      <c r="EP34" s="102"/>
      <c r="EQ34" s="102"/>
      <c r="ER34" s="102"/>
      <c r="ES34" s="102">
        <v>2.0</v>
      </c>
      <c r="ET34" s="102">
        <v>2.0</v>
      </c>
      <c r="EU34" s="102">
        <v>2.0</v>
      </c>
      <c r="EV34" s="102"/>
      <c r="EW34" s="102"/>
      <c r="EX34" s="102"/>
      <c r="EY34" s="102"/>
      <c r="EZ34" s="102" t="s">
        <v>12</v>
      </c>
      <c r="FA34" s="102" t="s">
        <v>12</v>
      </c>
      <c r="FB34" s="102" t="s">
        <v>12</v>
      </c>
      <c r="FC34" s="104">
        <f>COUNTIF(EA34:FB34,"D")/3</f>
        <v>2</v>
      </c>
      <c r="FD34" s="104">
        <f>COUNTIF(EA34:FB34,"D")/3</f>
        <v>2</v>
      </c>
      <c r="FE34" s="102"/>
      <c r="FF34" s="102"/>
      <c r="FG34" s="102"/>
      <c r="FH34" s="102"/>
      <c r="FI34" s="106">
        <v>2.0</v>
      </c>
      <c r="FJ34" s="105">
        <v>2.0</v>
      </c>
      <c r="FK34" s="102">
        <v>2.0</v>
      </c>
      <c r="FL34" s="102"/>
      <c r="FM34" s="102"/>
      <c r="FN34" s="102"/>
      <c r="FO34" s="102"/>
      <c r="FP34" s="102" t="s">
        <v>12</v>
      </c>
      <c r="FQ34" s="102" t="s">
        <v>12</v>
      </c>
      <c r="FR34" s="102" t="s">
        <v>12</v>
      </c>
      <c r="FS34" s="102"/>
      <c r="FT34" s="102"/>
      <c r="FU34" s="102"/>
      <c r="FV34" s="102"/>
      <c r="FW34" s="102">
        <v>2.0</v>
      </c>
      <c r="FX34" s="102">
        <v>2.0</v>
      </c>
      <c r="FY34" s="102">
        <v>2.0</v>
      </c>
      <c r="FZ34" s="102"/>
      <c r="GA34" s="102"/>
      <c r="GB34" s="102"/>
      <c r="GC34" s="102"/>
      <c r="GD34" s="102">
        <v>3.0</v>
      </c>
      <c r="GE34" s="102">
        <v>3.0</v>
      </c>
      <c r="GF34" s="102">
        <v>3.0</v>
      </c>
      <c r="GG34" s="102"/>
      <c r="GH34" s="102"/>
      <c r="GI34" s="102"/>
      <c r="GJ34" s="102"/>
      <c r="GK34" s="102" t="s">
        <v>12</v>
      </c>
      <c r="GL34" s="102" t="s">
        <v>12</v>
      </c>
      <c r="GM34" s="113" t="s">
        <v>12</v>
      </c>
      <c r="GN34" s="104">
        <f>COUNTIF(FE34:GM34,"D")/3</f>
        <v>2</v>
      </c>
      <c r="GO34" s="104">
        <f>COUNTIF(FE34:GM34,"D")/3</f>
        <v>2</v>
      </c>
      <c r="GP34" s="105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4">
        <f>COUNTIF(GP34:HQ34,"D")/3</f>
        <v>0</v>
      </c>
      <c r="HS34" s="104">
        <f>COUNTIF(GP34:HQ34,"D")/3</f>
        <v>0</v>
      </c>
      <c r="HT34" s="102"/>
      <c r="HU34" s="113"/>
      <c r="HV34" s="106"/>
      <c r="HW34" s="105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  <c r="IV34" s="104">
        <f>COUNTIF(HT34:IU34,"D")/3</f>
        <v>0</v>
      </c>
      <c r="IW34" s="104">
        <f>COUNTIF(HT34:IU34,"D")/3</f>
        <v>0</v>
      </c>
      <c r="IX34" s="102"/>
      <c r="IY34" s="102"/>
      <c r="IZ34" s="102"/>
      <c r="JA34" s="102"/>
      <c r="JB34" s="113"/>
      <c r="JC34" s="106"/>
      <c r="JD34" s="105"/>
      <c r="JE34" s="102"/>
      <c r="JF34" s="102"/>
      <c r="JG34" s="102"/>
      <c r="JH34" s="102"/>
      <c r="JI34" s="102"/>
      <c r="JJ34" s="102"/>
      <c r="JK34" s="102"/>
      <c r="JL34" s="102"/>
      <c r="JM34" s="102"/>
      <c r="JN34" s="102"/>
      <c r="JO34" s="102"/>
      <c r="JP34" s="102"/>
      <c r="JQ34" s="102"/>
      <c r="JR34" s="102"/>
      <c r="JS34" s="102"/>
      <c r="JT34" s="102"/>
      <c r="JU34" s="102"/>
      <c r="JV34" s="102"/>
      <c r="JW34" s="102"/>
      <c r="JX34" s="102"/>
      <c r="JY34" s="102"/>
      <c r="JZ34" s="102"/>
      <c r="KA34" s="102"/>
      <c r="KB34" s="102"/>
      <c r="KC34" s="102"/>
      <c r="KD34" s="102"/>
      <c r="KE34" s="102"/>
      <c r="KF34" s="102"/>
      <c r="KG34" s="104">
        <f>COUNTIF(IX34:KF34,"D")/3</f>
        <v>0</v>
      </c>
      <c r="KH34" s="104">
        <f>COUNTIF(IX34:KF34,"D")/3</f>
        <v>0</v>
      </c>
      <c r="KI34" s="113"/>
      <c r="KJ34" s="105"/>
      <c r="KK34" s="102"/>
      <c r="KL34" s="102"/>
      <c r="KM34" s="102"/>
      <c r="KN34" s="102"/>
      <c r="KO34" s="102"/>
      <c r="KP34" s="102"/>
      <c r="KQ34" s="102"/>
      <c r="KR34" s="102"/>
      <c r="KS34" s="102"/>
      <c r="KT34" s="102"/>
      <c r="KU34" s="102"/>
      <c r="KV34" s="102"/>
      <c r="KW34" s="102"/>
      <c r="KX34" s="102"/>
      <c r="KY34" s="102"/>
      <c r="KZ34" s="102"/>
      <c r="LA34" s="102"/>
      <c r="LB34" s="102"/>
      <c r="LC34" s="102"/>
      <c r="LD34" s="102"/>
      <c r="LE34" s="102"/>
      <c r="LF34" s="102"/>
      <c r="LG34" s="102"/>
      <c r="LH34" s="102"/>
      <c r="LI34" s="102"/>
      <c r="LJ34" s="102"/>
      <c r="LK34" s="104">
        <f>COUNTIF(KI34:LJ34,"D")/3</f>
        <v>0</v>
      </c>
      <c r="LL34" s="104">
        <f>COUNTIF(KI34:LJ34,"D")/3</f>
        <v>0</v>
      </c>
      <c r="LM34" s="102"/>
      <c r="LN34" s="102"/>
      <c r="LO34" s="113"/>
      <c r="LP34" s="106"/>
      <c r="LQ34" s="105"/>
      <c r="LR34" s="102"/>
      <c r="LS34" s="102"/>
      <c r="LT34" s="102"/>
      <c r="LU34" s="102"/>
      <c r="LV34" s="102"/>
      <c r="LW34" s="102"/>
      <c r="LX34" s="102"/>
      <c r="LY34" s="102"/>
      <c r="LZ34" s="102"/>
      <c r="MA34" s="102"/>
      <c r="MB34" s="102"/>
      <c r="MC34" s="102"/>
      <c r="MD34" s="102"/>
      <c r="ME34" s="102"/>
      <c r="MF34" s="102"/>
      <c r="MG34" s="102"/>
      <c r="MH34" s="102"/>
      <c r="MI34" s="102"/>
      <c r="MJ34" s="102"/>
      <c r="MK34" s="102"/>
      <c r="ML34" s="102"/>
      <c r="MM34" s="102"/>
      <c r="MN34" s="102"/>
      <c r="MO34" s="104">
        <f>COUNTIF(LM34:MN34,"D")/3</f>
        <v>0</v>
      </c>
      <c r="MP34" s="104">
        <f>COUNTIF(LM34:MN34,"D")/3</f>
        <v>0</v>
      </c>
      <c r="MQ34" s="102"/>
      <c r="MR34" s="102"/>
      <c r="MS34" s="102"/>
      <c r="MT34" s="102"/>
      <c r="MU34" s="102"/>
      <c r="MV34" s="113"/>
      <c r="MW34" s="105"/>
      <c r="MX34" s="102"/>
      <c r="MY34" s="102"/>
      <c r="MZ34" s="102"/>
      <c r="NA34" s="102"/>
      <c r="NB34" s="102"/>
      <c r="NC34" s="102"/>
      <c r="ND34" s="102"/>
      <c r="NE34" s="102"/>
      <c r="NF34" s="102"/>
      <c r="NG34" s="102"/>
      <c r="NH34" s="102"/>
      <c r="NI34" s="102"/>
      <c r="NJ34" s="102"/>
      <c r="NK34" s="102"/>
      <c r="NL34" s="102"/>
      <c r="NM34" s="102"/>
      <c r="NN34" s="102"/>
      <c r="NO34" s="102"/>
      <c r="NP34" s="102"/>
      <c r="NQ34" s="102"/>
      <c r="NR34" s="102"/>
      <c r="NS34" s="102"/>
      <c r="NT34" s="102"/>
      <c r="NU34" s="102"/>
      <c r="NV34" s="102"/>
      <c r="NW34" s="102"/>
      <c r="NX34" s="102"/>
      <c r="NY34" s="102"/>
      <c r="NZ34" s="104">
        <f>COUNTIF(MQ34:NY34,"D")/3</f>
        <v>0</v>
      </c>
      <c r="OA34" s="104">
        <f>COUNTIF(MQ34:NY34,"D")/3</f>
        <v>0</v>
      </c>
      <c r="OB34" s="113"/>
      <c r="OC34" s="106"/>
      <c r="OD34" s="104">
        <f t="shared" ref="OD34:OE34" si="15">SUM(AF34,BJ34,CU34,DY34,FC34,GN34,HR34,IV34,KG34,LK34,MO34,NZ34)</f>
        <v>12.66666667</v>
      </c>
      <c r="OE34" s="104">
        <f t="shared" si="15"/>
        <v>12.66666667</v>
      </c>
    </row>
    <row r="35" ht="26.25" customHeight="1">
      <c r="A35" s="73"/>
      <c r="B35" s="74"/>
      <c r="C35" s="114"/>
      <c r="D35" s="143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7"/>
      <c r="R35" s="136"/>
      <c r="S35" s="136"/>
      <c r="T35" s="136"/>
      <c r="U35" s="136"/>
      <c r="V35" s="136"/>
      <c r="W35" s="136"/>
      <c r="X35" s="136"/>
      <c r="Y35" s="136"/>
      <c r="Z35" s="157"/>
      <c r="AA35" s="136"/>
      <c r="AB35" s="136"/>
      <c r="AC35" s="136"/>
      <c r="AD35" s="136"/>
      <c r="AE35" s="136"/>
      <c r="AF35" s="138"/>
      <c r="AG35" s="138"/>
      <c r="AH35" s="143"/>
      <c r="AI35" s="140"/>
      <c r="AJ35" s="141"/>
      <c r="AK35" s="142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7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8"/>
      <c r="BK35" s="138"/>
      <c r="BL35" s="136"/>
      <c r="BM35" s="136"/>
      <c r="BN35" s="136"/>
      <c r="BO35" s="136"/>
      <c r="BP35" s="143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16"/>
      <c r="CG35" s="136"/>
      <c r="CH35" s="136"/>
      <c r="CI35" s="136"/>
      <c r="CJ35" s="136"/>
      <c r="CK35" s="136"/>
      <c r="CL35" s="116"/>
      <c r="CM35" s="136"/>
      <c r="CN35" s="136"/>
      <c r="CO35" s="136"/>
      <c r="CP35" s="136"/>
      <c r="CQ35" s="136"/>
      <c r="CR35" s="136"/>
      <c r="CS35" s="120"/>
      <c r="CT35" s="141"/>
      <c r="CU35" s="138"/>
      <c r="CV35" s="138"/>
      <c r="CW35" s="143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7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8"/>
      <c r="DZ35" s="138"/>
      <c r="EA35" s="136"/>
      <c r="EB35" s="141"/>
      <c r="EC35" s="115"/>
      <c r="ED35" s="116"/>
      <c r="EE35" s="116"/>
      <c r="EF35" s="116"/>
      <c r="EG35" s="116"/>
      <c r="EH35" s="116"/>
      <c r="EI35" s="116"/>
      <c r="EJ35" s="116"/>
      <c r="EK35" s="116"/>
      <c r="EL35" s="116"/>
      <c r="EM35" s="116"/>
      <c r="EN35" s="116"/>
      <c r="EO35" s="116"/>
      <c r="EP35" s="150"/>
      <c r="EQ35" s="116"/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38"/>
      <c r="FD35" s="138"/>
      <c r="FE35" s="116"/>
      <c r="FF35" s="116"/>
      <c r="FG35" s="116"/>
      <c r="FH35" s="120"/>
      <c r="FI35" s="118"/>
      <c r="FJ35" s="143"/>
      <c r="FK35" s="116"/>
      <c r="FL35" s="136"/>
      <c r="FM35" s="136"/>
      <c r="FN35" s="136"/>
      <c r="FO35" s="136"/>
      <c r="FP35" s="136"/>
      <c r="FQ35" s="136"/>
      <c r="FR35" s="136"/>
      <c r="FS35" s="136"/>
      <c r="FT35" s="136"/>
      <c r="FU35" s="136"/>
      <c r="FV35" s="136"/>
      <c r="FX35" s="136"/>
      <c r="FY35" s="136"/>
      <c r="FZ35" s="136"/>
      <c r="GA35" s="136"/>
      <c r="GB35" s="136"/>
      <c r="GC35" s="136"/>
      <c r="GD35" s="136"/>
      <c r="GE35" s="136"/>
      <c r="GF35" s="136"/>
      <c r="GG35" s="136"/>
      <c r="GH35" s="136"/>
      <c r="GI35" s="136"/>
      <c r="GJ35" s="136"/>
      <c r="GK35" s="136"/>
      <c r="GL35" s="136"/>
      <c r="GM35" s="140"/>
      <c r="GN35" s="138"/>
      <c r="GO35" s="138"/>
      <c r="GP35" s="143"/>
      <c r="GQ35" s="136"/>
      <c r="GR35" s="136"/>
      <c r="GS35" s="136"/>
      <c r="GT35" s="136"/>
      <c r="GU35" s="136"/>
      <c r="GV35" s="136"/>
      <c r="GW35" s="136"/>
      <c r="GX35" s="136"/>
      <c r="GY35" s="136"/>
      <c r="GZ35" s="136"/>
      <c r="HA35" s="136"/>
      <c r="HB35" s="136"/>
      <c r="HD35" s="136"/>
      <c r="HE35" s="136"/>
      <c r="HF35" s="136"/>
      <c r="HG35" s="136"/>
      <c r="HH35" s="136"/>
      <c r="HI35" s="136"/>
      <c r="HJ35" s="136"/>
      <c r="HK35" s="136"/>
      <c r="HL35" s="136"/>
      <c r="HM35" s="136"/>
      <c r="HN35" s="136"/>
      <c r="HO35" s="136"/>
      <c r="HP35" s="136"/>
      <c r="HQ35" s="136"/>
      <c r="HR35" s="138"/>
      <c r="HS35" s="138"/>
      <c r="HT35" s="136"/>
      <c r="HU35" s="140"/>
      <c r="HV35" s="141"/>
      <c r="HW35" s="143"/>
      <c r="HX35" s="136"/>
      <c r="HY35" s="136"/>
      <c r="HZ35" s="136"/>
      <c r="IA35" s="136"/>
      <c r="IB35" s="136"/>
      <c r="IC35" s="136"/>
      <c r="ID35" s="136"/>
      <c r="IE35" s="136"/>
      <c r="IF35" s="136"/>
      <c r="IG35" s="136"/>
      <c r="IH35" s="136"/>
      <c r="II35" s="136"/>
      <c r="IK35" s="136"/>
      <c r="IL35" s="136"/>
      <c r="IM35" s="136"/>
      <c r="IN35" s="136"/>
      <c r="IO35" s="136"/>
      <c r="IP35" s="136"/>
      <c r="IQ35" s="136"/>
      <c r="IR35" s="136"/>
      <c r="IS35" s="136"/>
      <c r="IT35" s="136"/>
      <c r="IU35" s="136"/>
      <c r="IV35" s="138"/>
      <c r="IW35" s="138"/>
      <c r="IX35" s="136"/>
      <c r="IY35" s="136"/>
      <c r="IZ35" s="136"/>
      <c r="JA35" s="136"/>
      <c r="JB35" s="140"/>
      <c r="JC35" s="141"/>
      <c r="JD35" s="143"/>
      <c r="JE35" s="136"/>
      <c r="JF35" s="136"/>
      <c r="JG35" s="136"/>
      <c r="JH35" s="136"/>
      <c r="JI35" s="136"/>
      <c r="JJ35" s="136"/>
      <c r="JK35" s="136"/>
      <c r="JL35" s="136"/>
      <c r="JM35" s="136"/>
      <c r="JN35" s="136"/>
      <c r="JO35" s="136"/>
      <c r="JP35" s="136"/>
      <c r="JR35" s="136"/>
      <c r="JS35" s="136"/>
      <c r="JT35" s="136"/>
      <c r="JU35" s="136"/>
      <c r="JV35" s="136"/>
      <c r="JW35" s="136"/>
      <c r="JX35" s="136"/>
      <c r="JY35" s="136"/>
      <c r="JZ35" s="136"/>
      <c r="KA35" s="136"/>
      <c r="KB35" s="136"/>
      <c r="KC35" s="136"/>
      <c r="KD35" s="136"/>
      <c r="KE35" s="136"/>
      <c r="KF35" s="136"/>
      <c r="KG35" s="138"/>
      <c r="KH35" s="138"/>
      <c r="KI35" s="140"/>
      <c r="KJ35" s="143"/>
      <c r="KK35" s="136"/>
      <c r="KL35" s="136"/>
      <c r="KM35" s="136"/>
      <c r="KN35" s="136"/>
      <c r="KO35" s="136"/>
      <c r="KP35" s="136"/>
      <c r="KQ35" s="136"/>
      <c r="KR35" s="136"/>
      <c r="KS35" s="136"/>
      <c r="KT35" s="136"/>
      <c r="KU35" s="136"/>
      <c r="KV35" s="136"/>
      <c r="KX35" s="136"/>
      <c r="KY35" s="136"/>
      <c r="KZ35" s="136"/>
      <c r="LA35" s="136"/>
      <c r="LB35" s="136"/>
      <c r="LC35" s="136"/>
      <c r="LD35" s="136"/>
      <c r="LE35" s="136"/>
      <c r="LF35" s="136"/>
      <c r="LG35" s="136"/>
      <c r="LH35" s="136"/>
      <c r="LI35" s="136"/>
      <c r="LJ35" s="136"/>
      <c r="LK35" s="138"/>
      <c r="LL35" s="138"/>
      <c r="LM35" s="136"/>
      <c r="LN35" s="136"/>
      <c r="LO35" s="140"/>
      <c r="LP35" s="141"/>
      <c r="LQ35" s="143"/>
      <c r="LR35" s="136"/>
      <c r="LS35" s="136"/>
      <c r="LT35" s="136"/>
      <c r="LU35" s="136"/>
      <c r="LV35" s="136"/>
      <c r="LW35" s="136"/>
      <c r="LX35" s="136"/>
      <c r="LY35" s="136"/>
      <c r="LZ35" s="136"/>
      <c r="MA35" s="136"/>
      <c r="MB35" s="136"/>
      <c r="MC35" s="136"/>
      <c r="ME35" s="136"/>
      <c r="MF35" s="136"/>
      <c r="MG35" s="136"/>
      <c r="MH35" s="136"/>
      <c r="MI35" s="136"/>
      <c r="MJ35" s="136"/>
      <c r="MK35" s="136"/>
      <c r="ML35" s="136"/>
      <c r="MM35" s="136"/>
      <c r="MN35" s="136"/>
      <c r="MO35" s="138"/>
      <c r="MP35" s="138"/>
      <c r="MQ35" s="136"/>
      <c r="MR35" s="136"/>
      <c r="MS35" s="136"/>
      <c r="MT35" s="136"/>
      <c r="MU35" s="136"/>
      <c r="MV35" s="140"/>
      <c r="MW35" s="143"/>
      <c r="MX35" s="136"/>
      <c r="MY35" s="136"/>
      <c r="MZ35" s="136"/>
      <c r="NA35" s="136"/>
      <c r="NB35" s="136"/>
      <c r="NC35" s="136"/>
      <c r="ND35" s="136"/>
      <c r="NE35" s="136"/>
      <c r="NF35" s="136"/>
      <c r="NG35" s="136"/>
      <c r="NH35" s="136"/>
      <c r="NI35" s="136"/>
      <c r="NK35" s="136"/>
      <c r="NL35" s="136"/>
      <c r="NM35" s="136"/>
      <c r="NN35" s="136"/>
      <c r="NO35" s="136"/>
      <c r="NP35" s="136"/>
      <c r="NQ35" s="136"/>
      <c r="NR35" s="136"/>
      <c r="NS35" s="136"/>
      <c r="NT35" s="136"/>
      <c r="NU35" s="136"/>
      <c r="NV35" s="136"/>
      <c r="NW35" s="136"/>
      <c r="NX35" s="136"/>
      <c r="NY35" s="136"/>
      <c r="NZ35" s="138"/>
      <c r="OA35" s="138"/>
      <c r="OB35" s="140"/>
      <c r="OC35" s="141"/>
      <c r="OD35" s="138"/>
      <c r="OE35" s="138"/>
    </row>
    <row r="36" ht="26.25" customHeight="1">
      <c r="A36" s="98" t="s">
        <v>87</v>
      </c>
      <c r="B36" s="172" t="s">
        <v>72</v>
      </c>
      <c r="C36" s="100" t="s">
        <v>88</v>
      </c>
      <c r="D36" s="105" t="s">
        <v>12</v>
      </c>
      <c r="E36" s="102" t="s">
        <v>13</v>
      </c>
      <c r="F36" s="102" t="s">
        <v>13</v>
      </c>
      <c r="G36" s="102" t="s">
        <v>13</v>
      </c>
      <c r="H36" s="102" t="s">
        <v>12</v>
      </c>
      <c r="I36" s="102" t="s">
        <v>12</v>
      </c>
      <c r="J36" s="102" t="s">
        <v>12</v>
      </c>
      <c r="K36" s="102" t="s">
        <v>13</v>
      </c>
      <c r="L36" s="102" t="s">
        <v>13</v>
      </c>
      <c r="M36" s="102" t="s">
        <v>13</v>
      </c>
      <c r="N36" s="102" t="s">
        <v>13</v>
      </c>
      <c r="O36" s="102" t="s">
        <v>13</v>
      </c>
      <c r="P36" s="102" t="s">
        <v>12</v>
      </c>
      <c r="Q36" s="102" t="s">
        <v>12</v>
      </c>
      <c r="R36" s="102" t="s">
        <v>13</v>
      </c>
      <c r="S36" s="102" t="s">
        <v>13</v>
      </c>
      <c r="T36" s="102" t="s">
        <v>13</v>
      </c>
      <c r="U36" s="102" t="s">
        <v>13</v>
      </c>
      <c r="V36" s="102" t="s">
        <v>13</v>
      </c>
      <c r="W36" s="102" t="s">
        <v>12</v>
      </c>
      <c r="X36" s="102" t="s">
        <v>12</v>
      </c>
      <c r="Y36" s="102" t="s">
        <v>13</v>
      </c>
      <c r="Z36" s="102" t="s">
        <v>13</v>
      </c>
      <c r="AA36" s="102" t="s">
        <v>13</v>
      </c>
      <c r="AB36" s="102" t="s">
        <v>13</v>
      </c>
      <c r="AC36" s="102" t="s">
        <v>13</v>
      </c>
      <c r="AD36" s="102" t="s">
        <v>12</v>
      </c>
      <c r="AE36" s="102" t="s">
        <v>12</v>
      </c>
      <c r="AF36" s="104"/>
      <c r="AG36" s="104"/>
      <c r="AH36" s="105" t="s">
        <v>13</v>
      </c>
      <c r="AI36" s="102" t="s">
        <v>13</v>
      </c>
      <c r="AJ36" s="106" t="s">
        <v>13</v>
      </c>
      <c r="AK36" s="173" t="s">
        <v>13</v>
      </c>
      <c r="AL36" s="174" t="s">
        <v>13</v>
      </c>
      <c r="AM36" s="174" t="s">
        <v>12</v>
      </c>
      <c r="AN36" s="174" t="s">
        <v>12</v>
      </c>
      <c r="AO36" s="174" t="s">
        <v>13</v>
      </c>
      <c r="AP36" s="174" t="s">
        <v>13</v>
      </c>
      <c r="AQ36" s="174" t="s">
        <v>13</v>
      </c>
      <c r="AR36" s="174" t="s">
        <v>13</v>
      </c>
      <c r="AS36" s="174" t="s">
        <v>13</v>
      </c>
      <c r="AT36" s="174" t="s">
        <v>12</v>
      </c>
      <c r="AU36" s="174" t="s">
        <v>12</v>
      </c>
      <c r="AV36" s="174" t="s">
        <v>68</v>
      </c>
      <c r="AW36" s="174" t="s">
        <v>12</v>
      </c>
      <c r="AX36" s="174" t="s">
        <v>13</v>
      </c>
      <c r="AY36" s="175" t="s">
        <v>13</v>
      </c>
      <c r="AZ36" s="175" t="s">
        <v>13</v>
      </c>
      <c r="BA36" s="174" t="s">
        <v>12</v>
      </c>
      <c r="BB36" s="174" t="s">
        <v>12</v>
      </c>
      <c r="BC36" s="174" t="s">
        <v>13</v>
      </c>
      <c r="BD36" s="175" t="s">
        <v>13</v>
      </c>
      <c r="BE36" s="175" t="s">
        <v>13</v>
      </c>
      <c r="BF36" s="174" t="s">
        <v>13</v>
      </c>
      <c r="BG36" s="174" t="s">
        <v>13</v>
      </c>
      <c r="BH36" s="174" t="s">
        <v>12</v>
      </c>
      <c r="BI36" s="174" t="s">
        <v>12</v>
      </c>
      <c r="BJ36" s="104"/>
      <c r="BK36" s="104"/>
      <c r="BL36" s="174" t="s">
        <v>13</v>
      </c>
      <c r="BM36" s="175" t="s">
        <v>13</v>
      </c>
      <c r="BN36" s="174" t="s">
        <v>13</v>
      </c>
      <c r="BO36" s="174" t="s">
        <v>13</v>
      </c>
      <c r="BP36" s="105" t="s">
        <v>13</v>
      </c>
      <c r="BQ36" s="102" t="s">
        <v>12</v>
      </c>
      <c r="BR36" s="102" t="s">
        <v>12</v>
      </c>
      <c r="BS36" s="102" t="s">
        <v>13</v>
      </c>
      <c r="BT36" s="102" t="s">
        <v>13</v>
      </c>
      <c r="BU36" s="102" t="s">
        <v>13</v>
      </c>
      <c r="BV36" s="102" t="s">
        <v>13</v>
      </c>
      <c r="BW36" s="102" t="s">
        <v>13</v>
      </c>
      <c r="BX36" s="102" t="s">
        <v>12</v>
      </c>
      <c r="BY36" s="102" t="s">
        <v>12</v>
      </c>
      <c r="BZ36" s="102" t="s">
        <v>13</v>
      </c>
      <c r="CA36" s="102" t="s">
        <v>13</v>
      </c>
      <c r="CB36" s="102" t="s">
        <v>13</v>
      </c>
      <c r="CC36" s="102" t="s">
        <v>13</v>
      </c>
      <c r="CD36" s="102" t="s">
        <v>13</v>
      </c>
      <c r="CE36" s="102" t="s">
        <v>12</v>
      </c>
      <c r="CF36" s="102" t="s">
        <v>12</v>
      </c>
      <c r="CG36" s="111" t="s">
        <v>13</v>
      </c>
      <c r="CH36" s="111" t="s">
        <v>13</v>
      </c>
      <c r="CI36" s="102" t="s">
        <v>13</v>
      </c>
      <c r="CJ36" s="102" t="s">
        <v>13</v>
      </c>
      <c r="CK36" s="102" t="s">
        <v>13</v>
      </c>
      <c r="CL36" s="102" t="s">
        <v>12</v>
      </c>
      <c r="CM36" s="102" t="s">
        <v>12</v>
      </c>
      <c r="CN36" s="102" t="s">
        <v>13</v>
      </c>
      <c r="CO36" s="102" t="s">
        <v>13</v>
      </c>
      <c r="CP36" s="102" t="s">
        <v>13</v>
      </c>
      <c r="CQ36" s="102" t="s">
        <v>12</v>
      </c>
      <c r="CR36" s="102" t="s">
        <v>12</v>
      </c>
      <c r="CS36" s="102" t="s">
        <v>12</v>
      </c>
      <c r="CT36" s="106" t="s">
        <v>12</v>
      </c>
      <c r="CU36" s="104"/>
      <c r="CV36" s="104"/>
      <c r="CW36" s="105" t="s">
        <v>13</v>
      </c>
      <c r="CX36" s="102" t="s">
        <v>13</v>
      </c>
      <c r="CY36" s="102" t="s">
        <v>13</v>
      </c>
      <c r="CZ36" s="102" t="s">
        <v>13</v>
      </c>
      <c r="DA36" s="102" t="s">
        <v>13</v>
      </c>
      <c r="DB36" s="102" t="s">
        <v>12</v>
      </c>
      <c r="DC36" s="102" t="s">
        <v>12</v>
      </c>
      <c r="DD36" s="102" t="s">
        <v>13</v>
      </c>
      <c r="DE36" s="102" t="s">
        <v>13</v>
      </c>
      <c r="DF36" s="102" t="s">
        <v>13</v>
      </c>
      <c r="DG36" s="110" t="s">
        <v>63</v>
      </c>
      <c r="DH36" s="102" t="s">
        <v>13</v>
      </c>
      <c r="DI36" s="102" t="s">
        <v>12</v>
      </c>
      <c r="DJ36" s="102" t="s">
        <v>12</v>
      </c>
      <c r="DK36" s="102" t="s">
        <v>13</v>
      </c>
      <c r="DL36" s="102" t="s">
        <v>13</v>
      </c>
      <c r="DM36" s="111" t="s">
        <v>13</v>
      </c>
      <c r="DN36" s="102" t="s">
        <v>13</v>
      </c>
      <c r="DO36" s="102" t="s">
        <v>13</v>
      </c>
      <c r="DP36" s="102" t="s">
        <v>12</v>
      </c>
      <c r="DQ36" s="102" t="s">
        <v>12</v>
      </c>
      <c r="DR36" s="102" t="s">
        <v>13</v>
      </c>
      <c r="DS36" s="102" t="s">
        <v>13</v>
      </c>
      <c r="DT36" s="102" t="s">
        <v>13</v>
      </c>
      <c r="DU36" s="102" t="s">
        <v>13</v>
      </c>
      <c r="DV36" s="102" t="s">
        <v>13</v>
      </c>
      <c r="DW36" s="102" t="s">
        <v>12</v>
      </c>
      <c r="DX36" s="102" t="s">
        <v>12</v>
      </c>
      <c r="DY36" s="104"/>
      <c r="DZ36" s="104"/>
      <c r="EA36" s="111" t="s">
        <v>13</v>
      </c>
      <c r="EB36" s="155" t="s">
        <v>13</v>
      </c>
      <c r="EC36" s="105" t="s">
        <v>12</v>
      </c>
      <c r="ED36" s="102" t="s">
        <v>13</v>
      </c>
      <c r="EE36" s="102" t="s">
        <v>13</v>
      </c>
      <c r="EF36" s="102" t="s">
        <v>12</v>
      </c>
      <c r="EG36" s="102" t="s">
        <v>12</v>
      </c>
      <c r="EH36" s="108" t="s">
        <v>64</v>
      </c>
      <c r="EI36" s="176"/>
      <c r="EJ36" s="176"/>
      <c r="EK36" s="176"/>
      <c r="EL36" s="177"/>
      <c r="EM36" s="102" t="s">
        <v>12</v>
      </c>
      <c r="EN36" s="102" t="s">
        <v>12</v>
      </c>
      <c r="EO36" s="102" t="s">
        <v>13</v>
      </c>
      <c r="EP36" s="102" t="s">
        <v>68</v>
      </c>
      <c r="EQ36" s="102" t="s">
        <v>13</v>
      </c>
      <c r="ER36" s="102" t="s">
        <v>13</v>
      </c>
      <c r="ES36" s="102" t="s">
        <v>12</v>
      </c>
      <c r="ET36" s="102" t="s">
        <v>12</v>
      </c>
      <c r="EU36" s="102" t="s">
        <v>12</v>
      </c>
      <c r="EV36" s="102" t="s">
        <v>13</v>
      </c>
      <c r="EW36" s="111" t="s">
        <v>13</v>
      </c>
      <c r="EX36" s="102" t="s">
        <v>12</v>
      </c>
      <c r="EY36" s="111" t="s">
        <v>13</v>
      </c>
      <c r="EZ36" s="102" t="s">
        <v>13</v>
      </c>
      <c r="FA36" s="102" t="s">
        <v>12</v>
      </c>
      <c r="FB36" s="102" t="s">
        <v>12</v>
      </c>
      <c r="FC36" s="104"/>
      <c r="FD36" s="104"/>
      <c r="FE36" s="102"/>
      <c r="FF36" s="102"/>
      <c r="FG36" s="102"/>
      <c r="FH36" s="113"/>
      <c r="FI36" s="106"/>
      <c r="FJ36" s="105" t="s">
        <v>12</v>
      </c>
      <c r="FK36" s="102" t="s">
        <v>12</v>
      </c>
      <c r="FL36" s="108" t="s">
        <v>64</v>
      </c>
      <c r="FM36" s="176"/>
      <c r="FN36" s="176"/>
      <c r="FO36" s="176"/>
      <c r="FP36" s="177"/>
      <c r="FQ36" s="102" t="s">
        <v>12</v>
      </c>
      <c r="FR36" s="102" t="s">
        <v>12</v>
      </c>
      <c r="FS36" s="102" t="s">
        <v>13</v>
      </c>
      <c r="FT36" s="102" t="s">
        <v>13</v>
      </c>
      <c r="FU36" s="102" t="s">
        <v>13</v>
      </c>
      <c r="FV36" s="102" t="s">
        <v>13</v>
      </c>
      <c r="FW36" s="102" t="s">
        <v>13</v>
      </c>
      <c r="FX36" s="102" t="s">
        <v>12</v>
      </c>
      <c r="FY36" s="102" t="s">
        <v>12</v>
      </c>
      <c r="FZ36" s="102" t="s">
        <v>13</v>
      </c>
      <c r="GA36" s="102" t="s">
        <v>13</v>
      </c>
      <c r="GB36" s="102" t="s">
        <v>13</v>
      </c>
      <c r="GC36" s="102" t="s">
        <v>13</v>
      </c>
      <c r="GD36" s="102" t="s">
        <v>13</v>
      </c>
      <c r="GE36" s="102" t="s">
        <v>12</v>
      </c>
      <c r="GF36" s="102" t="s">
        <v>12</v>
      </c>
      <c r="GG36" s="102" t="s">
        <v>13</v>
      </c>
      <c r="GH36" s="102" t="s">
        <v>13</v>
      </c>
      <c r="GI36" s="102" t="s">
        <v>13</v>
      </c>
      <c r="GJ36" s="102" t="s">
        <v>13</v>
      </c>
      <c r="GK36" s="102" t="s">
        <v>13</v>
      </c>
      <c r="GL36" s="102" t="s">
        <v>12</v>
      </c>
      <c r="GM36" s="102" t="s">
        <v>12</v>
      </c>
      <c r="GN36" s="104"/>
      <c r="GO36" s="104"/>
      <c r="GP36" s="105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4"/>
      <c r="HS36" s="104"/>
      <c r="HT36" s="102"/>
      <c r="HU36" s="113"/>
      <c r="HV36" s="106"/>
      <c r="HW36" s="105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K36" s="102"/>
      <c r="IL36" s="102"/>
      <c r="IM36" s="102"/>
      <c r="IN36" s="102"/>
      <c r="IO36" s="102"/>
      <c r="IP36" s="102"/>
      <c r="IQ36" s="102"/>
      <c r="IR36" s="102"/>
      <c r="IS36" s="102"/>
      <c r="IT36" s="102"/>
      <c r="IU36" s="102"/>
      <c r="IV36" s="104"/>
      <c r="IW36" s="104"/>
      <c r="IX36" s="102"/>
      <c r="IY36" s="102"/>
      <c r="IZ36" s="102"/>
      <c r="JA36" s="102"/>
      <c r="JB36" s="113"/>
      <c r="JC36" s="106"/>
      <c r="JD36" s="105"/>
      <c r="JE36" s="102"/>
      <c r="JF36" s="102"/>
      <c r="JG36" s="102"/>
      <c r="JH36" s="102"/>
      <c r="JI36" s="102"/>
      <c r="JJ36" s="102"/>
      <c r="JK36" s="102"/>
      <c r="JL36" s="102"/>
      <c r="JM36" s="102"/>
      <c r="JN36" s="102"/>
      <c r="JO36" s="102"/>
      <c r="JP36" s="102"/>
      <c r="JQ36" s="102"/>
      <c r="JR36" s="102"/>
      <c r="JS36" s="102"/>
      <c r="JT36" s="102"/>
      <c r="JU36" s="102"/>
      <c r="JV36" s="102"/>
      <c r="JW36" s="102"/>
      <c r="JX36" s="102"/>
      <c r="JY36" s="102"/>
      <c r="JZ36" s="102"/>
      <c r="KA36" s="102"/>
      <c r="KB36" s="102"/>
      <c r="KC36" s="102"/>
      <c r="KD36" s="102"/>
      <c r="KE36" s="102"/>
      <c r="KF36" s="102"/>
      <c r="KG36" s="104"/>
      <c r="KH36" s="104"/>
      <c r="KI36" s="113"/>
      <c r="KJ36" s="105"/>
      <c r="KK36" s="102"/>
      <c r="KL36" s="102"/>
      <c r="KM36" s="102"/>
      <c r="KN36" s="102"/>
      <c r="KO36" s="102"/>
      <c r="KP36" s="102"/>
      <c r="KQ36" s="102"/>
      <c r="KR36" s="102"/>
      <c r="KS36" s="102"/>
      <c r="KT36" s="102"/>
      <c r="KU36" s="102"/>
      <c r="KV36" s="102"/>
      <c r="KW36" s="102"/>
      <c r="KX36" s="102"/>
      <c r="KY36" s="102"/>
      <c r="KZ36" s="102"/>
      <c r="LA36" s="102"/>
      <c r="LB36" s="102"/>
      <c r="LC36" s="102"/>
      <c r="LD36" s="102"/>
      <c r="LE36" s="102"/>
      <c r="LF36" s="102"/>
      <c r="LG36" s="102"/>
      <c r="LH36" s="102"/>
      <c r="LI36" s="102"/>
      <c r="LJ36" s="102"/>
      <c r="LK36" s="104"/>
      <c r="LL36" s="104"/>
      <c r="LM36" s="102"/>
      <c r="LN36" s="102"/>
      <c r="LO36" s="113"/>
      <c r="LP36" s="106"/>
      <c r="LQ36" s="105"/>
      <c r="LR36" s="102"/>
      <c r="LS36" s="102"/>
      <c r="LT36" s="102"/>
      <c r="LU36" s="102"/>
      <c r="LV36" s="102"/>
      <c r="LW36" s="102"/>
      <c r="LX36" s="102"/>
      <c r="LY36" s="102"/>
      <c r="LZ36" s="102"/>
      <c r="MA36" s="102"/>
      <c r="MB36" s="102"/>
      <c r="MC36" s="102"/>
      <c r="MD36" s="102"/>
      <c r="ME36" s="102"/>
      <c r="MF36" s="102"/>
      <c r="MG36" s="102"/>
      <c r="MH36" s="102"/>
      <c r="MI36" s="102"/>
      <c r="MJ36" s="102"/>
      <c r="MK36" s="102"/>
      <c r="ML36" s="102"/>
      <c r="MM36" s="102"/>
      <c r="MN36" s="102"/>
      <c r="MO36" s="104"/>
      <c r="MP36" s="104"/>
      <c r="MQ36" s="102"/>
      <c r="MR36" s="102"/>
      <c r="MS36" s="102"/>
      <c r="MT36" s="102"/>
      <c r="MU36" s="102"/>
      <c r="MV36" s="113"/>
      <c r="MW36" s="105"/>
      <c r="MX36" s="102"/>
      <c r="MY36" s="102"/>
      <c r="MZ36" s="102"/>
      <c r="NA36" s="102"/>
      <c r="NB36" s="102"/>
      <c r="NC36" s="102"/>
      <c r="ND36" s="102"/>
      <c r="NE36" s="102"/>
      <c r="NF36" s="102"/>
      <c r="NG36" s="102"/>
      <c r="NH36" s="102"/>
      <c r="NI36" s="102"/>
      <c r="NJ36" s="102"/>
      <c r="NK36" s="102"/>
      <c r="NL36" s="102"/>
      <c r="NM36" s="102"/>
      <c r="NN36" s="102"/>
      <c r="NO36" s="102"/>
      <c r="NP36" s="102"/>
      <c r="NQ36" s="102"/>
      <c r="NR36" s="102"/>
      <c r="NS36" s="102"/>
      <c r="NT36" s="102"/>
      <c r="NU36" s="102"/>
      <c r="NV36" s="102"/>
      <c r="NW36" s="102"/>
      <c r="NX36" s="102"/>
      <c r="NY36" s="102"/>
      <c r="NZ36" s="104"/>
      <c r="OA36" s="104"/>
      <c r="OB36" s="113"/>
      <c r="OC36" s="106"/>
      <c r="OD36" s="104"/>
      <c r="OE36" s="104"/>
    </row>
    <row r="37" ht="26.25" customHeight="1">
      <c r="A37" s="73"/>
      <c r="B37" s="74"/>
      <c r="C37" s="114"/>
      <c r="D37" s="178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79"/>
      <c r="R37" s="161"/>
      <c r="S37" s="161"/>
      <c r="T37" s="161"/>
      <c r="U37" s="161"/>
      <c r="V37" s="161"/>
      <c r="W37" s="161"/>
      <c r="X37" s="161"/>
      <c r="Y37" s="161"/>
      <c r="Z37" s="180"/>
      <c r="AA37" s="161"/>
      <c r="AB37" s="161"/>
      <c r="AC37" s="161"/>
      <c r="AD37" s="161"/>
      <c r="AE37" s="161"/>
      <c r="AF37" s="181"/>
      <c r="AG37" s="181"/>
      <c r="AH37" s="178"/>
      <c r="AI37" s="182"/>
      <c r="AJ37" s="183"/>
      <c r="AK37" s="184"/>
      <c r="AL37" s="185"/>
      <c r="AM37" s="185"/>
      <c r="AN37" s="185"/>
      <c r="AO37" s="185"/>
      <c r="AP37" s="186" t="s">
        <v>89</v>
      </c>
      <c r="AQ37" s="185"/>
      <c r="AR37" s="185"/>
      <c r="AS37" s="185"/>
      <c r="AT37" s="185"/>
      <c r="AU37" s="185"/>
      <c r="AV37" s="185"/>
      <c r="AW37" s="185"/>
      <c r="AX37" s="185"/>
      <c r="AY37" s="187" t="s">
        <v>14</v>
      </c>
      <c r="AZ37" s="188"/>
      <c r="BA37" s="185"/>
      <c r="BB37" s="185"/>
      <c r="BC37" s="185"/>
      <c r="BD37" s="187" t="s">
        <v>14</v>
      </c>
      <c r="BE37" s="188"/>
      <c r="BF37" s="185"/>
      <c r="BG37" s="185"/>
      <c r="BH37" s="185"/>
      <c r="BI37" s="185"/>
      <c r="BJ37" s="181"/>
      <c r="BK37" s="181"/>
      <c r="BL37" s="185"/>
      <c r="BM37" s="167" t="s">
        <v>90</v>
      </c>
      <c r="BN37" s="185"/>
      <c r="BO37" s="185"/>
      <c r="BP37" s="189"/>
      <c r="BQ37" s="185"/>
      <c r="BR37" s="185"/>
      <c r="BS37" s="185"/>
      <c r="BT37" s="185"/>
      <c r="BU37" s="185"/>
      <c r="BV37" s="185"/>
      <c r="BW37" s="185"/>
      <c r="BX37" s="185"/>
      <c r="BY37" s="185"/>
      <c r="BZ37" s="185"/>
      <c r="CA37" s="185"/>
      <c r="CB37" s="185"/>
      <c r="CC37" s="185"/>
      <c r="CD37" s="185"/>
      <c r="CE37" s="185"/>
      <c r="CF37" s="185"/>
      <c r="CG37" s="136" t="s">
        <v>68</v>
      </c>
      <c r="CH37" s="136" t="s">
        <v>68</v>
      </c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90"/>
      <c r="CT37" s="191"/>
      <c r="CU37" s="181"/>
      <c r="CV37" s="181"/>
      <c r="CW37" s="189"/>
      <c r="CX37" s="185"/>
      <c r="CY37" s="185"/>
      <c r="CZ37" s="185"/>
      <c r="DA37" s="185"/>
      <c r="DB37" s="185"/>
      <c r="DC37" s="185"/>
      <c r="DD37" s="185"/>
      <c r="DE37" s="185"/>
      <c r="DF37" s="185"/>
      <c r="DG37" s="185"/>
      <c r="DH37" s="185"/>
      <c r="DI37" s="185"/>
      <c r="DJ37" s="185"/>
      <c r="DK37" s="185"/>
      <c r="DL37" s="185"/>
      <c r="DM37" s="192" t="s">
        <v>17</v>
      </c>
      <c r="DN37" s="185"/>
      <c r="DO37" s="185"/>
      <c r="DP37" s="185"/>
      <c r="DQ37" s="185"/>
      <c r="DR37" s="193" t="s">
        <v>91</v>
      </c>
      <c r="DS37" s="185"/>
      <c r="DT37" s="185"/>
      <c r="DU37" s="185"/>
      <c r="DV37" s="185"/>
      <c r="DW37" s="185"/>
      <c r="DX37" s="185"/>
      <c r="DY37" s="181"/>
      <c r="DZ37" s="181"/>
      <c r="EA37" s="192" t="s">
        <v>17</v>
      </c>
      <c r="EB37" s="194" t="s">
        <v>17</v>
      </c>
      <c r="EC37" s="115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50"/>
      <c r="EQ37" s="116"/>
      <c r="ER37" s="116"/>
      <c r="ES37" s="116"/>
      <c r="ET37" s="116"/>
      <c r="EU37" s="116"/>
      <c r="EV37" s="116"/>
      <c r="EW37" s="116" t="s">
        <v>17</v>
      </c>
      <c r="EX37" s="116"/>
      <c r="EY37" s="116" t="s">
        <v>17</v>
      </c>
      <c r="EZ37" s="116"/>
      <c r="FA37" s="116"/>
      <c r="FB37" s="116"/>
      <c r="FC37" s="181"/>
      <c r="FD37" s="181"/>
      <c r="FE37" s="116"/>
      <c r="FF37" s="116"/>
      <c r="FG37" s="116"/>
      <c r="FH37" s="116"/>
      <c r="FI37" s="118"/>
      <c r="FJ37" s="115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81"/>
      <c r="GO37" s="181"/>
      <c r="GP37" s="115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81"/>
      <c r="HS37" s="181"/>
      <c r="HT37" s="116"/>
      <c r="HU37" s="116"/>
      <c r="HV37" s="118"/>
      <c r="HW37" s="115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81"/>
      <c r="IW37" s="181"/>
      <c r="IX37" s="116"/>
      <c r="IY37" s="116"/>
      <c r="IZ37" s="116"/>
      <c r="JA37" s="116"/>
      <c r="JB37" s="116"/>
      <c r="JC37" s="118"/>
      <c r="JD37" s="115"/>
      <c r="JE37" s="116"/>
      <c r="JF37" s="116"/>
      <c r="JG37" s="116"/>
      <c r="JH37" s="116"/>
      <c r="JI37" s="116"/>
      <c r="JJ37" s="116"/>
      <c r="JK37" s="116"/>
      <c r="JL37" s="116"/>
      <c r="JM37" s="116"/>
      <c r="JN37" s="116"/>
      <c r="JO37" s="116"/>
      <c r="JP37" s="116"/>
      <c r="JQ37" s="116"/>
      <c r="JR37" s="116"/>
      <c r="JS37" s="116"/>
      <c r="JT37" s="116"/>
      <c r="JU37" s="116"/>
      <c r="JV37" s="116"/>
      <c r="JW37" s="116"/>
      <c r="JX37" s="116"/>
      <c r="JY37" s="116"/>
      <c r="JZ37" s="116"/>
      <c r="KA37" s="116"/>
      <c r="KB37" s="116"/>
      <c r="KC37" s="116"/>
      <c r="KD37" s="116"/>
      <c r="KE37" s="116"/>
      <c r="KF37" s="116"/>
      <c r="KG37" s="181"/>
      <c r="KH37" s="181"/>
      <c r="KI37" s="116"/>
      <c r="KJ37" s="115"/>
      <c r="KK37" s="116"/>
      <c r="KL37" s="116"/>
      <c r="KM37" s="116"/>
      <c r="KN37" s="116"/>
      <c r="KO37" s="116"/>
      <c r="KP37" s="116"/>
      <c r="KQ37" s="116"/>
      <c r="KR37" s="116"/>
      <c r="KS37" s="116"/>
      <c r="KT37" s="116"/>
      <c r="KU37" s="116"/>
      <c r="KV37" s="116"/>
      <c r="KW37" s="116"/>
      <c r="KX37" s="116"/>
      <c r="KY37" s="116"/>
      <c r="KZ37" s="116"/>
      <c r="LA37" s="116"/>
      <c r="LB37" s="116"/>
      <c r="LC37" s="116"/>
      <c r="LD37" s="116"/>
      <c r="LE37" s="116"/>
      <c r="LF37" s="116"/>
      <c r="LG37" s="116"/>
      <c r="LH37" s="116"/>
      <c r="LI37" s="116"/>
      <c r="LJ37" s="116"/>
      <c r="LK37" s="181"/>
      <c r="LL37" s="181"/>
      <c r="LM37" s="116"/>
      <c r="LN37" s="116"/>
      <c r="LO37" s="116"/>
      <c r="LP37" s="118"/>
      <c r="LQ37" s="115"/>
      <c r="LR37" s="116"/>
      <c r="LS37" s="116"/>
      <c r="LT37" s="116"/>
      <c r="LU37" s="116"/>
      <c r="LV37" s="116"/>
      <c r="LW37" s="116"/>
      <c r="LX37" s="116"/>
      <c r="LY37" s="116"/>
      <c r="LZ37" s="116"/>
      <c r="MA37" s="116"/>
      <c r="MB37" s="116"/>
      <c r="MC37" s="116"/>
      <c r="MD37" s="116"/>
      <c r="ME37" s="116"/>
      <c r="MF37" s="116"/>
      <c r="MG37" s="116"/>
      <c r="MH37" s="116"/>
      <c r="MI37" s="116"/>
      <c r="MJ37" s="116"/>
      <c r="MK37" s="116"/>
      <c r="ML37" s="116"/>
      <c r="MM37" s="116"/>
      <c r="MN37" s="116"/>
      <c r="MO37" s="181"/>
      <c r="MP37" s="181"/>
      <c r="MQ37" s="116"/>
      <c r="MR37" s="116"/>
      <c r="MS37" s="116"/>
      <c r="MT37" s="116"/>
      <c r="MU37" s="116"/>
      <c r="MV37" s="116"/>
      <c r="MW37" s="115"/>
      <c r="MX37" s="116"/>
      <c r="MY37" s="116"/>
      <c r="MZ37" s="116"/>
      <c r="NA37" s="116"/>
      <c r="NB37" s="116"/>
      <c r="NC37" s="116"/>
      <c r="ND37" s="116"/>
      <c r="NE37" s="116"/>
      <c r="NF37" s="116"/>
      <c r="NG37" s="116"/>
      <c r="NH37" s="116"/>
      <c r="NI37" s="116"/>
      <c r="NJ37" s="116"/>
      <c r="NK37" s="116"/>
      <c r="NL37" s="116"/>
      <c r="NM37" s="116"/>
      <c r="NN37" s="116"/>
      <c r="NO37" s="116"/>
      <c r="NP37" s="116"/>
      <c r="NQ37" s="116"/>
      <c r="NR37" s="116"/>
      <c r="NS37" s="116"/>
      <c r="NT37" s="116"/>
      <c r="NU37" s="116"/>
      <c r="NV37" s="116"/>
      <c r="NW37" s="116"/>
      <c r="NX37" s="116"/>
      <c r="NY37" s="116"/>
      <c r="NZ37" s="181"/>
      <c r="OA37" s="181"/>
      <c r="OB37" s="116"/>
      <c r="OC37" s="118"/>
      <c r="OD37" s="181"/>
      <c r="OE37" s="18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IV1:IW1"/>
    <mergeCell ref="KG1:KH1"/>
    <mergeCell ref="LK1:LL1"/>
    <mergeCell ref="MO1:MP1"/>
    <mergeCell ref="NZ1:OA1"/>
    <mergeCell ref="OD1:OE1"/>
    <mergeCell ref="AF1:AG1"/>
    <mergeCell ref="BJ1:BK1"/>
    <mergeCell ref="CU1:CV1"/>
    <mergeCell ref="DY1:DZ1"/>
    <mergeCell ref="FC1:FD1"/>
    <mergeCell ref="GN1:GO1"/>
    <mergeCell ref="HR1:HS1"/>
    <mergeCell ref="EC2:FB2"/>
    <mergeCell ref="FC2:FD2"/>
    <mergeCell ref="FE2:FI2"/>
    <mergeCell ref="FJ2:GM2"/>
    <mergeCell ref="GN2:GO2"/>
    <mergeCell ref="GP2:HQ2"/>
    <mergeCell ref="HR2:HS2"/>
    <mergeCell ref="HT2:HV2"/>
    <mergeCell ref="HW2:IU2"/>
    <mergeCell ref="IV2:IW2"/>
    <mergeCell ref="IX2:JC2"/>
    <mergeCell ref="JD2:KF2"/>
    <mergeCell ref="KG2:KH2"/>
    <mergeCell ref="KJ2:LJ2"/>
    <mergeCell ref="OB2:OC2"/>
    <mergeCell ref="OD2:OE2"/>
    <mergeCell ref="LK2:LL2"/>
    <mergeCell ref="LM2:LP2"/>
    <mergeCell ref="LQ2:MN2"/>
    <mergeCell ref="MO2:MP2"/>
    <mergeCell ref="MQ2:MV2"/>
    <mergeCell ref="MW2:NY2"/>
    <mergeCell ref="NZ2:OA2"/>
    <mergeCell ref="A4:A5"/>
    <mergeCell ref="B4:B5"/>
    <mergeCell ref="C4:C5"/>
    <mergeCell ref="D4:M4"/>
    <mergeCell ref="CL4:CT4"/>
    <mergeCell ref="CW4:DF4"/>
    <mergeCell ref="DH4:DK4"/>
    <mergeCell ref="B24:B25"/>
    <mergeCell ref="C24:C25"/>
    <mergeCell ref="A20:A21"/>
    <mergeCell ref="B20:B21"/>
    <mergeCell ref="C20:C21"/>
    <mergeCell ref="A22:A23"/>
    <mergeCell ref="B22:B23"/>
    <mergeCell ref="C22:C23"/>
    <mergeCell ref="A24:A25"/>
    <mergeCell ref="B32:B33"/>
    <mergeCell ref="C32:C33"/>
    <mergeCell ref="A34:A35"/>
    <mergeCell ref="B34:B35"/>
    <mergeCell ref="C34:C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32:A33"/>
    <mergeCell ref="BJ2:BK2"/>
    <mergeCell ref="BL2:BO2"/>
    <mergeCell ref="BP2:CT2"/>
    <mergeCell ref="CU2:CV2"/>
    <mergeCell ref="CW2:DX2"/>
    <mergeCell ref="DY2:DZ2"/>
    <mergeCell ref="EA2:EB2"/>
    <mergeCell ref="A2:A3"/>
    <mergeCell ref="B2:B3"/>
    <mergeCell ref="C2:C3"/>
    <mergeCell ref="D2:AE2"/>
    <mergeCell ref="AF2:AG2"/>
    <mergeCell ref="AH2:AJ2"/>
    <mergeCell ref="AK2:BI2"/>
    <mergeCell ref="A6:A7"/>
    <mergeCell ref="B6:B7"/>
    <mergeCell ref="C6:C7"/>
    <mergeCell ref="CN7:CO7"/>
    <mergeCell ref="CS7:CT7"/>
    <mergeCell ref="B8:B9"/>
    <mergeCell ref="C8:C9"/>
    <mergeCell ref="A8:A9"/>
    <mergeCell ref="A10:A11"/>
    <mergeCell ref="B10:B11"/>
    <mergeCell ref="C10:C11"/>
    <mergeCell ref="A12:A13"/>
    <mergeCell ref="B12:B13"/>
    <mergeCell ref="C12:C13"/>
    <mergeCell ref="B18:B19"/>
    <mergeCell ref="C18:C19"/>
    <mergeCell ref="JB18:JD18"/>
    <mergeCell ref="GT20:GV20"/>
    <mergeCell ref="A14:A15"/>
    <mergeCell ref="B14:B15"/>
    <mergeCell ref="C14:C15"/>
    <mergeCell ref="A16:A17"/>
    <mergeCell ref="B16:B17"/>
    <mergeCell ref="C16:C17"/>
    <mergeCell ref="A18:A19"/>
    <mergeCell ref="A26:A27"/>
    <mergeCell ref="B26:B27"/>
    <mergeCell ref="C26:C27"/>
  </mergeCells>
  <conditionalFormatting sqref="D4">
    <cfRule type="containsText" dxfId="4" priority="1" operator="containsText" text="V A C A C">
      <formula>NOT(ISERROR(SEARCH(("V A C A C"),(D4))))</formula>
    </cfRule>
  </conditionalFormatting>
  <conditionalFormatting sqref="D4">
    <cfRule type="containsText" dxfId="4" priority="2" operator="containsText" text="VACAC">
      <formula>NOT(ISERROR(SEARCH(("VACAC"),(D4))))</formula>
    </cfRule>
  </conditionalFormatting>
  <conditionalFormatting sqref="D4">
    <cfRule type="containsText" dxfId="5" priority="3" operator="containsText" text="AP">
      <formula>NOT(ISERROR(SEARCH(("AP"),(D4))))</formula>
    </cfRule>
  </conditionalFormatting>
  <conditionalFormatting sqref="D4">
    <cfRule type="containsText" dxfId="6" priority="4" operator="containsText" text="Ts">
      <formula>NOT(ISERROR(SEARCH(("Ts"),(D4))))</formula>
    </cfRule>
  </conditionalFormatting>
  <conditionalFormatting sqref="D4">
    <cfRule type="containsText" dxfId="7" priority="5" operator="containsText" text="D">
      <formula>NOT(ISERROR(SEARCH(("D"),(D4))))</formula>
    </cfRule>
  </conditionalFormatting>
  <conditionalFormatting sqref="D4">
    <cfRule type="containsText" dxfId="8" priority="6" operator="containsText" text="3">
      <formula>NOT(ISERROR(SEARCH(("3"),(D4))))</formula>
    </cfRule>
  </conditionalFormatting>
  <conditionalFormatting sqref="D4">
    <cfRule type="containsText" dxfId="9" priority="7" operator="containsText" text="2">
      <formula>NOT(ISERROR(SEARCH(("2"),(D4))))</formula>
    </cfRule>
  </conditionalFormatting>
  <conditionalFormatting sqref="D4">
    <cfRule type="containsText" dxfId="10" priority="8" operator="containsText" text="1">
      <formula>NOT(ISERROR(SEARCH(("1"),(D4))))</formula>
    </cfRule>
  </conditionalFormatting>
  <conditionalFormatting sqref="D7 D9:Z9 AH9:AJ9">
    <cfRule type="containsText" dxfId="11" priority="9" operator="containsText" text="ex">
      <formula>NOT(ISERROR(SEARCH(("ex"),(D7))))</formula>
    </cfRule>
  </conditionalFormatting>
  <conditionalFormatting sqref="D7:D10 D12:AE16 E8:AE8 E9:AD9 E10:AE10 AH8:AJ10">
    <cfRule type="containsText" dxfId="5" priority="10" operator="containsText" text="AP">
      <formula>NOT(ISERROR(SEARCH(("AP"),(D7))))</formula>
    </cfRule>
  </conditionalFormatting>
  <conditionalFormatting sqref="D6:O6">
    <cfRule type="containsText" dxfId="10" priority="11" operator="containsText" text="L">
      <formula>NOT(ISERROR(SEARCH(("L"),(D6))))</formula>
    </cfRule>
  </conditionalFormatting>
  <conditionalFormatting sqref="D6:Q6">
    <cfRule type="containsText" dxfId="7" priority="12" operator="containsText" text="D">
      <formula>NOT(ISERROR(SEARCH(("D"),(D6))))</formula>
    </cfRule>
  </conditionalFormatting>
  <conditionalFormatting sqref="D8:AE8">
    <cfRule type="containsText" dxfId="6" priority="13" operator="containsText" text="Ts">
      <formula>NOT(ISERROR(SEARCH(("Ts"),(D8))))</formula>
    </cfRule>
  </conditionalFormatting>
  <conditionalFormatting sqref="D8:AE8">
    <cfRule type="containsText" dxfId="4" priority="14" operator="containsText" text="V A C A C">
      <formula>NOT(ISERROR(SEARCH(("V A C A C"),(D8))))</formula>
    </cfRule>
  </conditionalFormatting>
  <conditionalFormatting sqref="D8:AE8">
    <cfRule type="containsText" dxfId="4" priority="15" operator="containsText" text="VACAC">
      <formula>NOT(ISERROR(SEARCH(("VACAC"),(D8))))</formula>
    </cfRule>
  </conditionalFormatting>
  <conditionalFormatting sqref="D8:AE8">
    <cfRule type="containsText" dxfId="7" priority="16" operator="containsText" text="D">
      <formula>NOT(ISERROR(SEARCH(("D"),(D8))))</formula>
    </cfRule>
  </conditionalFormatting>
  <conditionalFormatting sqref="D8:AE8">
    <cfRule type="containsText" dxfId="8" priority="17" operator="containsText" text="3">
      <formula>NOT(ISERROR(SEARCH(("3"),(D8))))</formula>
    </cfRule>
  </conditionalFormatting>
  <conditionalFormatting sqref="D8:AE8">
    <cfRule type="containsText" dxfId="9" priority="18" operator="containsText" text="2">
      <formula>NOT(ISERROR(SEARCH(("2"),(D8))))</formula>
    </cfRule>
  </conditionalFormatting>
  <conditionalFormatting sqref="D8:AE8">
    <cfRule type="containsText" dxfId="10" priority="19" operator="containsText" text="1">
      <formula>NOT(ISERROR(SEARCH(("1"),(D8))))</formula>
    </cfRule>
  </conditionalFormatting>
  <conditionalFormatting sqref="D10:AE10 AH10:AJ10">
    <cfRule type="containsText" dxfId="6" priority="20" operator="containsText" text="Ts">
      <formula>NOT(ISERROR(SEARCH(("Ts"),(D10))))</formula>
    </cfRule>
  </conditionalFormatting>
  <conditionalFormatting sqref="D10:AE10 AH10:AJ10">
    <cfRule type="containsText" dxfId="7" priority="21" operator="containsText" text="D">
      <formula>NOT(ISERROR(SEARCH(("D"),(D10))))</formula>
    </cfRule>
  </conditionalFormatting>
  <conditionalFormatting sqref="D10:AE10 AH10:AJ10">
    <cfRule type="containsText" dxfId="8" priority="22" operator="containsText" text="3">
      <formula>NOT(ISERROR(SEARCH(("3"),(D10))))</formula>
    </cfRule>
  </conditionalFormatting>
  <conditionalFormatting sqref="D10:AE10 AH10:AJ10">
    <cfRule type="containsText" dxfId="9" priority="23" operator="containsText" text="2">
      <formula>NOT(ISERROR(SEARCH(("2"),(D10))))</formula>
    </cfRule>
  </conditionalFormatting>
  <conditionalFormatting sqref="D10:AE10 AH10:AJ10">
    <cfRule type="containsText" dxfId="10" priority="24" operator="containsText" text="1">
      <formula>NOT(ISERROR(SEARCH(("1"),(D10))))</formula>
    </cfRule>
  </conditionalFormatting>
  <conditionalFormatting sqref="D10:AE10">
    <cfRule type="containsText" dxfId="4" priority="25" operator="containsText" text="V A C A C">
      <formula>NOT(ISERROR(SEARCH(("V A C A C"),(D10))))</formula>
    </cfRule>
  </conditionalFormatting>
  <conditionalFormatting sqref="D10:AE10">
    <cfRule type="containsText" dxfId="4" priority="26" operator="containsText" text="VACAC">
      <formula>NOT(ISERROR(SEARCH(("VACAC"),(D10))))</formula>
    </cfRule>
  </conditionalFormatting>
  <conditionalFormatting sqref="D11:AE11 AH11:AK11">
    <cfRule type="containsText" dxfId="11" priority="27" operator="containsText" text="ex">
      <formula>NOT(ISERROR(SEARCH(("ex"),(D11))))</formula>
    </cfRule>
  </conditionalFormatting>
  <conditionalFormatting sqref="D12:AE12 AH12:AJ12">
    <cfRule type="containsText" dxfId="6" priority="28" operator="containsText" text="Ts">
      <formula>NOT(ISERROR(SEARCH(("Ts"),(D12))))</formula>
    </cfRule>
  </conditionalFormatting>
  <conditionalFormatting sqref="D12:AE12 AH12:AJ12">
    <cfRule type="containsText" dxfId="7" priority="29" operator="containsText" text="D">
      <formula>NOT(ISERROR(SEARCH(("D"),(D12))))</formula>
    </cfRule>
  </conditionalFormatting>
  <conditionalFormatting sqref="D12:AE12 AH12:AJ12">
    <cfRule type="containsText" dxfId="8" priority="30" operator="containsText" text="3">
      <formula>NOT(ISERROR(SEARCH(("3"),(D12))))</formula>
    </cfRule>
  </conditionalFormatting>
  <conditionalFormatting sqref="D12:AE12 AH12:AJ12">
    <cfRule type="containsText" dxfId="9" priority="31" operator="containsText" text="2">
      <formula>NOT(ISERROR(SEARCH(("2"),(D12))))</formula>
    </cfRule>
  </conditionalFormatting>
  <conditionalFormatting sqref="D12:AE12 AH12:AJ12">
    <cfRule type="containsText" dxfId="10" priority="32" operator="containsText" text="1">
      <formula>NOT(ISERROR(SEARCH(("1"),(D12))))</formula>
    </cfRule>
  </conditionalFormatting>
  <conditionalFormatting sqref="D12:AE12">
    <cfRule type="containsText" dxfId="4" priority="33" operator="containsText" text="V A C A C">
      <formula>NOT(ISERROR(SEARCH(("V A C A C"),(D12))))</formula>
    </cfRule>
  </conditionalFormatting>
  <conditionalFormatting sqref="D12:AE12">
    <cfRule type="containsText" dxfId="4" priority="34" operator="containsText" text="VACAC">
      <formula>NOT(ISERROR(SEARCH(("VACAC"),(D12))))</formula>
    </cfRule>
  </conditionalFormatting>
  <conditionalFormatting sqref="D13:AE13">
    <cfRule type="containsText" dxfId="11" priority="35" operator="containsText" text="ex">
      <formula>NOT(ISERROR(SEARCH(("ex"),(D13))))</formula>
    </cfRule>
  </conditionalFormatting>
  <conditionalFormatting sqref="D14:AE14 AH14:AJ14">
    <cfRule type="containsText" dxfId="6" priority="36" operator="containsText" text="Ts">
      <formula>NOT(ISERROR(SEARCH(("Ts"),(D14))))</formula>
    </cfRule>
  </conditionalFormatting>
  <conditionalFormatting sqref="D14:AE14 AH14:AJ14">
    <cfRule type="containsText" dxfId="7" priority="37" operator="containsText" text="D">
      <formula>NOT(ISERROR(SEARCH(("D"),(D14))))</formula>
    </cfRule>
  </conditionalFormatting>
  <conditionalFormatting sqref="D14:AE14 AH14:AJ14">
    <cfRule type="containsText" dxfId="8" priority="38" operator="containsText" text="3">
      <formula>NOT(ISERROR(SEARCH(("3"),(D14))))</formula>
    </cfRule>
  </conditionalFormatting>
  <conditionalFormatting sqref="D14:AE14 AH14:AJ14">
    <cfRule type="containsText" dxfId="9" priority="39" operator="containsText" text="2">
      <formula>NOT(ISERROR(SEARCH(("2"),(D14))))</formula>
    </cfRule>
  </conditionalFormatting>
  <conditionalFormatting sqref="D14:AE14 AH14:AJ14">
    <cfRule type="containsText" dxfId="10" priority="40" operator="containsText" text="1">
      <formula>NOT(ISERROR(SEARCH(("1"),(D14))))</formula>
    </cfRule>
  </conditionalFormatting>
  <conditionalFormatting sqref="D14:AE14">
    <cfRule type="containsText" dxfId="4" priority="41" operator="containsText" text="V A C A C">
      <formula>NOT(ISERROR(SEARCH(("V A C A C"),(D14))))</formula>
    </cfRule>
  </conditionalFormatting>
  <conditionalFormatting sqref="D14:AE14">
    <cfRule type="containsText" dxfId="4" priority="42" operator="containsText" text="VACAC">
      <formula>NOT(ISERROR(SEARCH(("VACAC"),(D14))))</formula>
    </cfRule>
  </conditionalFormatting>
  <conditionalFormatting sqref="D15:AE15">
    <cfRule type="containsText" dxfId="11" priority="43" operator="containsText" text="ex">
      <formula>NOT(ISERROR(SEARCH(("ex"),(D15))))</formula>
    </cfRule>
  </conditionalFormatting>
  <conditionalFormatting sqref="D16:AE16 AH16:AJ16">
    <cfRule type="containsText" dxfId="6" priority="44" operator="containsText" text="Ts">
      <formula>NOT(ISERROR(SEARCH(("Ts"),(D16))))</formula>
    </cfRule>
  </conditionalFormatting>
  <conditionalFormatting sqref="D16:AE16 AH16:AJ16">
    <cfRule type="containsText" dxfId="7" priority="45" operator="containsText" text="D">
      <formula>NOT(ISERROR(SEARCH(("D"),(D16))))</formula>
    </cfRule>
  </conditionalFormatting>
  <conditionalFormatting sqref="D16:AE16 AH16:AJ16">
    <cfRule type="containsText" dxfId="8" priority="46" operator="containsText" text="3">
      <formula>NOT(ISERROR(SEARCH(("3"),(D16))))</formula>
    </cfRule>
  </conditionalFormatting>
  <conditionalFormatting sqref="D16:AE16 AH16:AJ16">
    <cfRule type="containsText" dxfId="9" priority="47" operator="containsText" text="2">
      <formula>NOT(ISERROR(SEARCH(("2"),(D16))))</formula>
    </cfRule>
  </conditionalFormatting>
  <conditionalFormatting sqref="D16:AE16 AH16:AJ16">
    <cfRule type="containsText" dxfId="10" priority="48" operator="containsText" text="1">
      <formula>NOT(ISERROR(SEARCH(("1"),(D16))))</formula>
    </cfRule>
  </conditionalFormatting>
  <conditionalFormatting sqref="D16:AE16">
    <cfRule type="containsText" dxfId="4" priority="49" operator="containsText" text="V A C A C">
      <formula>NOT(ISERROR(SEARCH(("V A C A C"),(D16))))</formula>
    </cfRule>
  </conditionalFormatting>
  <conditionalFormatting sqref="D16:AE16">
    <cfRule type="containsText" dxfId="4" priority="50" operator="containsText" text="VACAC">
      <formula>NOT(ISERROR(SEARCH(("VACAC"),(D16))))</formula>
    </cfRule>
  </conditionalFormatting>
  <conditionalFormatting sqref="D17:AE17 AH17:AJ17">
    <cfRule type="containsText" dxfId="11" priority="51" operator="containsText" text="ex">
      <formula>NOT(ISERROR(SEARCH(("ex"),(D17))))</formula>
    </cfRule>
  </conditionalFormatting>
  <conditionalFormatting sqref="D17:AE17">
    <cfRule type="containsText" dxfId="5" priority="52" operator="containsText" text="AP">
      <formula>NOT(ISERROR(SEARCH(("AP"),(D17))))</formula>
    </cfRule>
  </conditionalFormatting>
  <conditionalFormatting sqref="D18:AE18 AH18:AJ18">
    <cfRule type="containsText" dxfId="6" priority="53" operator="containsText" text="Ts">
      <formula>NOT(ISERROR(SEARCH(("Ts"),(D18))))</formula>
    </cfRule>
  </conditionalFormatting>
  <conditionalFormatting sqref="D18:AE18 AH18:AJ18">
    <cfRule type="containsText" dxfId="7" priority="54" operator="containsText" text="D">
      <formula>NOT(ISERROR(SEARCH(("D"),(D18))))</formula>
    </cfRule>
  </conditionalFormatting>
  <conditionalFormatting sqref="D18:AE18 AH18:AJ18">
    <cfRule type="containsText" dxfId="8" priority="55" operator="containsText" text="3">
      <formula>NOT(ISERROR(SEARCH(("3"),(D18))))</formula>
    </cfRule>
  </conditionalFormatting>
  <conditionalFormatting sqref="D18:AE18 AH18:AJ18">
    <cfRule type="containsText" dxfId="9" priority="56" operator="containsText" text="2">
      <formula>NOT(ISERROR(SEARCH(("2"),(D18))))</formula>
    </cfRule>
  </conditionalFormatting>
  <conditionalFormatting sqref="D18:AE18 AH18:AJ18">
    <cfRule type="containsText" dxfId="10" priority="57" operator="containsText" text="1">
      <formula>NOT(ISERROR(SEARCH(("1"),(D18))))</formula>
    </cfRule>
  </conditionalFormatting>
  <conditionalFormatting sqref="D18:AE18">
    <cfRule type="containsText" dxfId="4" priority="58" operator="containsText" text="V A C A C">
      <formula>NOT(ISERROR(SEARCH(("V A C A C"),(D18))))</formula>
    </cfRule>
  </conditionalFormatting>
  <conditionalFormatting sqref="D18:AE18">
    <cfRule type="containsText" dxfId="4" priority="59" operator="containsText" text="VACAC">
      <formula>NOT(ISERROR(SEARCH(("VACAC"),(D18))))</formula>
    </cfRule>
  </conditionalFormatting>
  <conditionalFormatting sqref="D18:AE28">
    <cfRule type="containsText" dxfId="5" priority="60" operator="containsText" text="AP">
      <formula>NOT(ISERROR(SEARCH(("AP"),(D18))))</formula>
    </cfRule>
  </conditionalFormatting>
  <conditionalFormatting sqref="D19:AE19">
    <cfRule type="containsText" dxfId="11" priority="61" operator="containsText" text="ex">
      <formula>NOT(ISERROR(SEARCH(("ex"),(D19))))</formula>
    </cfRule>
  </conditionalFormatting>
  <conditionalFormatting sqref="D20:AE20 AH20:AJ20">
    <cfRule type="containsText" dxfId="6" priority="62" operator="containsText" text="Ts">
      <formula>NOT(ISERROR(SEARCH(("Ts"),(D20))))</formula>
    </cfRule>
  </conditionalFormatting>
  <conditionalFormatting sqref="D20:AE20 AH20:AJ20">
    <cfRule type="containsText" dxfId="7" priority="63" operator="containsText" text="D">
      <formula>NOT(ISERROR(SEARCH(("D"),(D20))))</formula>
    </cfRule>
  </conditionalFormatting>
  <conditionalFormatting sqref="D20:AE20 AH20:AJ20">
    <cfRule type="containsText" dxfId="8" priority="64" operator="containsText" text="3">
      <formula>NOT(ISERROR(SEARCH(("3"),(D20))))</formula>
    </cfRule>
  </conditionalFormatting>
  <conditionalFormatting sqref="D20:AE20 AH20:AJ20">
    <cfRule type="containsText" dxfId="9" priority="65" operator="containsText" text="2">
      <formula>NOT(ISERROR(SEARCH(("2"),(D20))))</formula>
    </cfRule>
  </conditionalFormatting>
  <conditionalFormatting sqref="D20:AE20 AH20:AJ20">
    <cfRule type="containsText" dxfId="10" priority="66" operator="containsText" text="1">
      <formula>NOT(ISERROR(SEARCH(("1"),(D20))))</formula>
    </cfRule>
  </conditionalFormatting>
  <conditionalFormatting sqref="D20:AE20">
    <cfRule type="containsText" dxfId="4" priority="67" operator="containsText" text="V A C A C">
      <formula>NOT(ISERROR(SEARCH(("V A C A C"),(D20))))</formula>
    </cfRule>
  </conditionalFormatting>
  <conditionalFormatting sqref="D20:AE20">
    <cfRule type="containsText" dxfId="4" priority="68" operator="containsText" text="VACAC">
      <formula>NOT(ISERROR(SEARCH(("VACAC"),(D20))))</formula>
    </cfRule>
  </conditionalFormatting>
  <conditionalFormatting sqref="D21:AE21">
    <cfRule type="containsText" dxfId="11" priority="69" operator="containsText" text="ex">
      <formula>NOT(ISERROR(SEARCH(("ex"),(D21))))</formula>
    </cfRule>
  </conditionalFormatting>
  <conditionalFormatting sqref="D22:AE22 AH22:AJ22">
    <cfRule type="containsText" dxfId="6" priority="70" operator="containsText" text="Ts">
      <formula>NOT(ISERROR(SEARCH(("Ts"),(D22))))</formula>
    </cfRule>
  </conditionalFormatting>
  <conditionalFormatting sqref="D22:AE22 AH22:AJ22">
    <cfRule type="containsText" dxfId="7" priority="71" operator="containsText" text="D">
      <formula>NOT(ISERROR(SEARCH(("D"),(D22))))</formula>
    </cfRule>
  </conditionalFormatting>
  <conditionalFormatting sqref="D22:AE22 AH22:AJ22">
    <cfRule type="containsText" dxfId="8" priority="72" operator="containsText" text="3">
      <formula>NOT(ISERROR(SEARCH(("3"),(D22))))</formula>
    </cfRule>
  </conditionalFormatting>
  <conditionalFormatting sqref="D22:AE22 AH22:AJ22">
    <cfRule type="containsText" dxfId="9" priority="73" operator="containsText" text="2">
      <formula>NOT(ISERROR(SEARCH(("2"),(D22))))</formula>
    </cfRule>
  </conditionalFormatting>
  <conditionalFormatting sqref="D22:AE22 AH22:AJ22">
    <cfRule type="containsText" dxfId="10" priority="74" operator="containsText" text="1">
      <formula>NOT(ISERROR(SEARCH(("1"),(D22))))</formula>
    </cfRule>
  </conditionalFormatting>
  <conditionalFormatting sqref="D22:AE22">
    <cfRule type="containsText" dxfId="4" priority="75" operator="containsText" text="V A C A C">
      <formula>NOT(ISERROR(SEARCH(("V A C A C"),(D22))))</formula>
    </cfRule>
  </conditionalFormatting>
  <conditionalFormatting sqref="D22:AE22">
    <cfRule type="containsText" dxfId="4" priority="76" operator="containsText" text="VACAC">
      <formula>NOT(ISERROR(SEARCH(("VACAC"),(D22))))</formula>
    </cfRule>
  </conditionalFormatting>
  <conditionalFormatting sqref="D23:AE23">
    <cfRule type="containsText" dxfId="11" priority="77" operator="containsText" text="ex">
      <formula>NOT(ISERROR(SEARCH(("ex"),(D23))))</formula>
    </cfRule>
  </conditionalFormatting>
  <conditionalFormatting sqref="D24:AE24 AH24:AJ24">
    <cfRule type="containsText" dxfId="6" priority="78" operator="containsText" text="Ts">
      <formula>NOT(ISERROR(SEARCH(("Ts"),(D24))))</formula>
    </cfRule>
  </conditionalFormatting>
  <conditionalFormatting sqref="D24:AE24 AH24:AJ24">
    <cfRule type="containsText" dxfId="7" priority="79" operator="containsText" text="D">
      <formula>NOT(ISERROR(SEARCH(("D"),(D24))))</formula>
    </cfRule>
  </conditionalFormatting>
  <conditionalFormatting sqref="D24:AE24 AH24:AJ24">
    <cfRule type="containsText" dxfId="8" priority="80" operator="containsText" text="3">
      <formula>NOT(ISERROR(SEARCH(("3"),(D24))))</formula>
    </cfRule>
  </conditionalFormatting>
  <conditionalFormatting sqref="D24:AE24 AH24:AJ24">
    <cfRule type="containsText" dxfId="9" priority="81" operator="containsText" text="2">
      <formula>NOT(ISERROR(SEARCH(("2"),(D24))))</formula>
    </cfRule>
  </conditionalFormatting>
  <conditionalFormatting sqref="D24:AE24 AH24:AJ24">
    <cfRule type="containsText" dxfId="10" priority="82" operator="containsText" text="1">
      <formula>NOT(ISERROR(SEARCH(("1"),(D24))))</formula>
    </cfRule>
  </conditionalFormatting>
  <conditionalFormatting sqref="D24:AE24">
    <cfRule type="containsText" dxfId="4" priority="83" operator="containsText" text="V A C A C">
      <formula>NOT(ISERROR(SEARCH(("V A C A C"),(D24))))</formula>
    </cfRule>
  </conditionalFormatting>
  <conditionalFormatting sqref="D24:AE24">
    <cfRule type="containsText" dxfId="4" priority="84" operator="containsText" text="VACAC">
      <formula>NOT(ISERROR(SEARCH(("VACAC"),(D24))))</formula>
    </cfRule>
  </conditionalFormatting>
  <conditionalFormatting sqref="D25:AE25">
    <cfRule type="containsText" dxfId="11" priority="85" operator="containsText" text="ex">
      <formula>NOT(ISERROR(SEARCH(("ex"),(D25))))</formula>
    </cfRule>
  </conditionalFormatting>
  <conditionalFormatting sqref="D26:AE26 AH26:AJ26">
    <cfRule type="containsText" dxfId="6" priority="86" operator="containsText" text="Ts">
      <formula>NOT(ISERROR(SEARCH(("Ts"),(D26))))</formula>
    </cfRule>
  </conditionalFormatting>
  <conditionalFormatting sqref="D26:AE26 AH26:AJ26">
    <cfRule type="containsText" dxfId="7" priority="87" operator="containsText" text="D">
      <formula>NOT(ISERROR(SEARCH(("D"),(D26))))</formula>
    </cfRule>
  </conditionalFormatting>
  <conditionalFormatting sqref="D26:AE26 AH26:AJ26">
    <cfRule type="containsText" dxfId="8" priority="88" operator="containsText" text="3">
      <formula>NOT(ISERROR(SEARCH(("3"),(D26))))</formula>
    </cfRule>
  </conditionalFormatting>
  <conditionalFormatting sqref="D26:AE26 AH26:AJ26">
    <cfRule type="containsText" dxfId="9" priority="89" operator="containsText" text="2">
      <formula>NOT(ISERROR(SEARCH(("2"),(D26))))</formula>
    </cfRule>
  </conditionalFormatting>
  <conditionalFormatting sqref="D26:AE26 AH26:AJ26">
    <cfRule type="containsText" dxfId="10" priority="90" operator="containsText" text="1">
      <formula>NOT(ISERROR(SEARCH(("1"),(D26))))</formula>
    </cfRule>
  </conditionalFormatting>
  <conditionalFormatting sqref="D26:AE26">
    <cfRule type="containsText" dxfId="4" priority="91" operator="containsText" text="V A C A C">
      <formula>NOT(ISERROR(SEARCH(("V A C A C"),(D26))))</formula>
    </cfRule>
  </conditionalFormatting>
  <conditionalFormatting sqref="D26:AE26">
    <cfRule type="containsText" dxfId="4" priority="92" operator="containsText" text="VACAC">
      <formula>NOT(ISERROR(SEARCH(("VACAC"),(D26))))</formula>
    </cfRule>
  </conditionalFormatting>
  <conditionalFormatting sqref="D27:AE27">
    <cfRule type="containsText" dxfId="11" priority="93" operator="containsText" text="ex">
      <formula>NOT(ISERROR(SEARCH(("ex"),(D27))))</formula>
    </cfRule>
  </conditionalFormatting>
  <conditionalFormatting sqref="D28:AE28 AH28:AJ28">
    <cfRule type="containsText" dxfId="7" priority="94" operator="containsText" text="D">
      <formula>NOT(ISERROR(SEARCH(("D"),(D28))))</formula>
    </cfRule>
  </conditionalFormatting>
  <conditionalFormatting sqref="D28:AE28 AH28:AJ28">
    <cfRule type="containsText" dxfId="8" priority="95" operator="containsText" text="3">
      <formula>NOT(ISERROR(SEARCH(("3"),(D28))))</formula>
    </cfRule>
  </conditionalFormatting>
  <conditionalFormatting sqref="D28:AE28 AH28:AJ28">
    <cfRule type="containsText" dxfId="9" priority="96" operator="containsText" text="2">
      <formula>NOT(ISERROR(SEARCH(("2"),(D28))))</formula>
    </cfRule>
  </conditionalFormatting>
  <conditionalFormatting sqref="D28:AE28 AH28:AJ28">
    <cfRule type="containsText" dxfId="10" priority="97" operator="containsText" text="1">
      <formula>NOT(ISERROR(SEARCH(("1"),(D28))))</formula>
    </cfRule>
  </conditionalFormatting>
  <conditionalFormatting sqref="D28:AE28 AH28:BI28">
    <cfRule type="containsText" dxfId="6" priority="98" operator="containsText" text="Ts">
      <formula>NOT(ISERROR(SEARCH(("Ts"),(D28))))</formula>
    </cfRule>
  </conditionalFormatting>
  <conditionalFormatting sqref="D28:AE28">
    <cfRule type="containsText" dxfId="4" priority="99" operator="containsText" text="V A C A C">
      <formula>NOT(ISERROR(SEARCH(("V A C A C"),(D28))))</formula>
    </cfRule>
  </conditionalFormatting>
  <conditionalFormatting sqref="D28:AE28">
    <cfRule type="containsText" dxfId="4" priority="100" operator="containsText" text="VACAC">
      <formula>NOT(ISERROR(SEARCH(("VACAC"),(D28))))</formula>
    </cfRule>
  </conditionalFormatting>
  <conditionalFormatting sqref="D29:AE29">
    <cfRule type="containsText" dxfId="11" priority="101" operator="containsText" text="ex">
      <formula>NOT(ISERROR(SEARCH(("ex"),(D29))))</formula>
    </cfRule>
  </conditionalFormatting>
  <conditionalFormatting sqref="D29:AE29">
    <cfRule type="containsText" dxfId="5" priority="102" operator="containsText" text="AP">
      <formula>NOT(ISERROR(SEARCH(("AP"),(D29))))</formula>
    </cfRule>
  </conditionalFormatting>
  <conditionalFormatting sqref="D30:AE30 AH30:AJ30">
    <cfRule type="containsText" dxfId="6" priority="103" operator="containsText" text="Ts">
      <formula>NOT(ISERROR(SEARCH(("Ts"),(D30))))</formula>
    </cfRule>
  </conditionalFormatting>
  <conditionalFormatting sqref="D30:AE30 AH30:AJ30">
    <cfRule type="containsText" dxfId="7" priority="104" operator="containsText" text="D">
      <formula>NOT(ISERROR(SEARCH(("D"),(D30))))</formula>
    </cfRule>
  </conditionalFormatting>
  <conditionalFormatting sqref="D30:AE30 AH30:AJ30">
    <cfRule type="containsText" dxfId="8" priority="105" operator="containsText" text="3">
      <formula>NOT(ISERROR(SEARCH(("3"),(D30))))</formula>
    </cfRule>
  </conditionalFormatting>
  <conditionalFormatting sqref="D30:AE30 AH30:AJ30">
    <cfRule type="containsText" dxfId="9" priority="106" operator="containsText" text="2">
      <formula>NOT(ISERROR(SEARCH(("2"),(D30))))</formula>
    </cfRule>
  </conditionalFormatting>
  <conditionalFormatting sqref="D30:AE30 AH30:AJ30">
    <cfRule type="containsText" dxfId="10" priority="107" operator="containsText" text="1">
      <formula>NOT(ISERROR(SEARCH(("1"),(D30))))</formula>
    </cfRule>
  </conditionalFormatting>
  <conditionalFormatting sqref="D30:AE30">
    <cfRule type="containsText" dxfId="4" priority="108" operator="containsText" text="V A C A C">
      <formula>NOT(ISERROR(SEARCH(("V A C A C"),(D30))))</formula>
    </cfRule>
  </conditionalFormatting>
  <conditionalFormatting sqref="D30:AE30">
    <cfRule type="containsText" dxfId="4" priority="109" operator="containsText" text="VACAC">
      <formula>NOT(ISERROR(SEARCH(("VACAC"),(D30))))</formula>
    </cfRule>
  </conditionalFormatting>
  <conditionalFormatting sqref="D30:AE30">
    <cfRule type="containsText" dxfId="5" priority="110" operator="containsText" text="AP">
      <formula>NOT(ISERROR(SEARCH(("AP"),(D30))))</formula>
    </cfRule>
  </conditionalFormatting>
  <conditionalFormatting sqref="D31:AE31">
    <cfRule type="containsText" dxfId="11" priority="111" operator="containsText" text="ex">
      <formula>NOT(ISERROR(SEARCH(("ex"),(D31))))</formula>
    </cfRule>
  </conditionalFormatting>
  <conditionalFormatting sqref="D32:AE32 AH32:AJ32">
    <cfRule type="containsText" dxfId="7" priority="112" operator="containsText" text="D">
      <formula>NOT(ISERROR(SEARCH(("D"),(D32))))</formula>
    </cfRule>
  </conditionalFormatting>
  <conditionalFormatting sqref="D32:AE32 AH32:AJ32">
    <cfRule type="containsText" dxfId="8" priority="113" operator="containsText" text="3">
      <formula>NOT(ISERROR(SEARCH(("3"),(D32))))</formula>
    </cfRule>
  </conditionalFormatting>
  <conditionalFormatting sqref="D32:AE32 AH32:AJ32">
    <cfRule type="containsText" dxfId="9" priority="114" operator="containsText" text="2">
      <formula>NOT(ISERROR(SEARCH(("2"),(D32))))</formula>
    </cfRule>
  </conditionalFormatting>
  <conditionalFormatting sqref="D32:AE32 AH32:AJ32">
    <cfRule type="containsText" dxfId="10" priority="115" operator="containsText" text="1">
      <formula>NOT(ISERROR(SEARCH(("1"),(D32))))</formula>
    </cfRule>
  </conditionalFormatting>
  <conditionalFormatting sqref="D32:AE32">
    <cfRule type="containsText" dxfId="4" priority="116" operator="containsText" text="V A C A C">
      <formula>NOT(ISERROR(SEARCH(("V A C A C"),(D32))))</formula>
    </cfRule>
  </conditionalFormatting>
  <conditionalFormatting sqref="D32:AE32">
    <cfRule type="containsText" dxfId="4" priority="117" operator="containsText" text="VACAC">
      <formula>NOT(ISERROR(SEARCH(("VACAC"),(D32))))</formula>
    </cfRule>
  </conditionalFormatting>
  <conditionalFormatting sqref="D32:AE35 D37:AJ37">
    <cfRule type="containsText" dxfId="5" priority="118" operator="containsText" text="AP">
      <formula>NOT(ISERROR(SEARCH(("AP"),(D32))))</formula>
    </cfRule>
  </conditionalFormatting>
  <conditionalFormatting sqref="D33:AE33 D35:AE35 D37:AJ37 AH33:AJ33 AH35:AJ35">
    <cfRule type="containsText" dxfId="11" priority="119" operator="containsText" text="ex">
      <formula>NOT(ISERROR(SEARCH(("ex"),(D33))))</formula>
    </cfRule>
  </conditionalFormatting>
  <conditionalFormatting sqref="D34:AE34 AH34:AJ34">
    <cfRule type="containsText" dxfId="8" priority="120" operator="containsText" text="3">
      <formula>NOT(ISERROR(SEARCH(("3"),(D34))))</formula>
    </cfRule>
  </conditionalFormatting>
  <conditionalFormatting sqref="D34:AE34 AH34:AJ34">
    <cfRule type="containsText" dxfId="9" priority="121" operator="containsText" text="2">
      <formula>NOT(ISERROR(SEARCH(("2"),(D34))))</formula>
    </cfRule>
  </conditionalFormatting>
  <conditionalFormatting sqref="D34:AE34 AH34:AJ34">
    <cfRule type="containsText" dxfId="10" priority="122" operator="containsText" text="1">
      <formula>NOT(ISERROR(SEARCH(("1"),(D34))))</formula>
    </cfRule>
  </conditionalFormatting>
  <conditionalFormatting sqref="D34:AE34 AH34:AJ34">
    <cfRule type="containsText" dxfId="7" priority="123" operator="containsText" text="D">
      <formula>NOT(ISERROR(SEARCH(("D"),(D34))))</formula>
    </cfRule>
  </conditionalFormatting>
  <conditionalFormatting sqref="D34:AE34 AH34:AJ34">
    <cfRule type="containsText" dxfId="10" priority="124" operator="containsText" text="L">
      <formula>NOT(ISERROR(SEARCH(("L"),(D34))))</formula>
    </cfRule>
  </conditionalFormatting>
  <conditionalFormatting sqref="D34:AE34">
    <cfRule type="containsText" dxfId="4" priority="125" operator="containsText" text="V A C A C">
      <formula>NOT(ISERROR(SEARCH(("V A C A C"),(D34))))</formula>
    </cfRule>
  </conditionalFormatting>
  <conditionalFormatting sqref="D34:AE34">
    <cfRule type="containsText" dxfId="4" priority="126" operator="containsText" text="VACAC">
      <formula>NOT(ISERROR(SEARCH(("VACAC"),(D34))))</formula>
    </cfRule>
  </conditionalFormatting>
  <conditionalFormatting sqref="D34:AE34">
    <cfRule type="containsText" dxfId="6" priority="127" operator="containsText" text="Ts">
      <formula>NOT(ISERROR(SEARCH(("Ts"),(D34))))</formula>
    </cfRule>
  </conditionalFormatting>
  <conditionalFormatting sqref="D34:AE34">
    <cfRule type="containsText" dxfId="7" priority="128" operator="containsText" text="D">
      <formula>NOT(ISERROR(SEARCH(("D"),(D34))))</formula>
    </cfRule>
  </conditionalFormatting>
  <conditionalFormatting sqref="D36:AJ36">
    <cfRule type="containsText" dxfId="10" priority="129" operator="containsText" text="L">
      <formula>NOT(ISERROR(SEARCH(("L"),(D36))))</formula>
    </cfRule>
  </conditionalFormatting>
  <conditionalFormatting sqref="D36:BI36 BL36:BO36">
    <cfRule type="containsText" dxfId="7" priority="130" operator="containsText" text="D">
      <formula>NOT(ISERROR(SEARCH(("D"),(D36))))</formula>
    </cfRule>
  </conditionalFormatting>
  <conditionalFormatting sqref="D36:BI36 BL36:CT36 GP6:HQ6 HT6:IU6 IX6:KF6 KI6:LJ6 LM6:MN6 MQ6:NY6 OB6:OC6">
    <cfRule type="containsText" dxfId="4" priority="131" operator="containsText" text="V A C A C">
      <formula>NOT(ISERROR(SEARCH(("V A C A C"),(D36))))</formula>
    </cfRule>
  </conditionalFormatting>
  <conditionalFormatting sqref="D36:BI36 BL36:CT36 GP6:HQ6 HT6:IU6 IX6:KF6 KI6:LJ6 LM6:MN6 MQ6:NY6 OB6:OC6">
    <cfRule type="containsText" dxfId="4" priority="132" operator="containsText" text="VACAC">
      <formula>NOT(ISERROR(SEARCH(("VACAC"),(D36))))</formula>
    </cfRule>
  </conditionalFormatting>
  <conditionalFormatting sqref="D36:BI36 BL36:CT36 GP6:HQ6 HT6:IU6 IX6:KF6 KI6:LJ6 LM6:MN6 MQ6:NY6 OB6:OC6">
    <cfRule type="containsText" dxfId="6" priority="133" operator="containsText" text="Ts">
      <formula>NOT(ISERROR(SEARCH(("Ts"),(D36))))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4" priority="134" operator="containsText" text="V A C A C">
      <formula>NOT(ISERROR(SEARCH(("V A C A C"),(D38))))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4" priority="135" operator="containsText" text="VACAC">
      <formula>NOT(ISERROR(SEARCH(("VACAC"),(D38))))</formula>
    </cfRule>
  </conditionalFormatting>
  <conditionalFormatting sqref="D39:BI1000 BL39:CT1000 CW39:DX1000 EA39:FB1000 FE39:GM1000 GP15:HQ19 GP21:HQ21 GP23:HQ23 GP25:HQ25 GP27:HQ27 GP29:HQ29 GP31:HQ31 GP33:HQ33 GP39:HQ1000 HT15:IU19 HT21:IU21 HT23:IU23 HT25:IU25 HT27:IU27 HT29:IU29 HT31:IU31 HT33:IU33 HT39:IU1000 IX15:KF17 IX18:JB18 IX19:KF19 IX21:KF21 IX23:KF23 IX25:KF25 IX27:KF27 IX29:KF29 IX31:KF31 IX33:KF33 IX39:KF1000 JE18:KF18 KI15:LJ19 KI21:LJ21 KI23:LJ23 KI25:LJ25 KI27:LJ27 KI29:LJ29 KI31:LJ31 KI33:LJ33 KI39:LJ1000 LM15:MN19 LM21:MN21 LM23:MN23 LM25:MN25 LM27:MN27 LM29:MN29 LM31:MN31 LM33:MN33 LM39:MN1000 MQ15:NY19 MQ21:NY21 MQ23:NY23 MQ25:NY25 MQ27:NY27 MQ29:NY29 MQ31:NY31 MQ33:NY33 MQ39:NY1000 OB15:OC19 OB21:OC21 OB23:OC23 OB25:OC25 OB27:OC27 OB29:OC29 OB31:OC31 OB33:OC33 OB39:OC1000">
    <cfRule type="containsText" dxfId="5" priority="136" operator="containsText" text="AP">
      <formula>NOT(ISERROR(SEARCH(("AP"),(D39))))</formula>
    </cfRule>
  </conditionalFormatting>
  <conditionalFormatting sqref="E7 H7:I7 L7:M7 O7:U7 R6:S6 AH6:AI6 AH7:AJ7 AH18 BU32:CJ33 DB32:DN35 EA32:EB35">
    <cfRule type="containsText" dxfId="5" priority="137" operator="containsText" text="AP">
      <formula>NOT(ISERROR(SEARCH(("AP"),(E7))))</formula>
    </cfRule>
  </conditionalFormatting>
  <conditionalFormatting sqref="N4:BO4">
    <cfRule type="containsText" dxfId="7" priority="138" operator="containsText" text="D">
      <formula>NOT(ISERROR(SEARCH(("D"),(N4))))</formula>
    </cfRule>
  </conditionalFormatting>
  <conditionalFormatting sqref="N4:BO4">
    <cfRule type="containsText" dxfId="10" priority="139" operator="containsText" text="L">
      <formula>NOT(ISERROR(SEARCH(("L"),(N4))))</formula>
    </cfRule>
  </conditionalFormatting>
  <conditionalFormatting sqref="P6:Q6">
    <cfRule type="containsText" dxfId="4" priority="140" operator="containsText" text="V A C A C">
      <formula>NOT(ISERROR(SEARCH(("V A C A C"),(P6))))</formula>
    </cfRule>
  </conditionalFormatting>
  <conditionalFormatting sqref="P6:Q6">
    <cfRule type="containsText" dxfId="4" priority="141" operator="containsText" text="VACAC">
      <formula>NOT(ISERROR(SEARCH(("VACAC"),(P6))))</formula>
    </cfRule>
  </conditionalFormatting>
  <conditionalFormatting sqref="P6:Q6">
    <cfRule type="containsText" dxfId="6" priority="142" operator="containsText" text="Ts">
      <formula>NOT(ISERROR(SEARCH(("Ts"),(P6))))</formula>
    </cfRule>
  </conditionalFormatting>
  <conditionalFormatting sqref="P6:Q6">
    <cfRule type="containsText" dxfId="8" priority="143" operator="containsText" text="3">
      <formula>NOT(ISERROR(SEARCH(("3"),(P6))))</formula>
    </cfRule>
  </conditionalFormatting>
  <conditionalFormatting sqref="P6:Q6">
    <cfRule type="containsText" dxfId="9" priority="144" operator="containsText" text="2">
      <formula>NOT(ISERROR(SEARCH(("2"),(P6))))</formula>
    </cfRule>
  </conditionalFormatting>
  <conditionalFormatting sqref="P6:Q6">
    <cfRule type="containsText" dxfId="10" priority="145" operator="containsText" text="1">
      <formula>NOT(ISERROR(SEARCH(("1"),(P6))))</formula>
    </cfRule>
  </conditionalFormatting>
  <conditionalFormatting sqref="P6:Q6">
    <cfRule type="containsText" dxfId="5" priority="146" operator="containsText" text="AP">
      <formula>NOT(ISERROR(SEARCH(("AP"),(P6))))</formula>
    </cfRule>
  </conditionalFormatting>
  <conditionalFormatting sqref="E7 I7 L7:M7 R6:S6">
    <cfRule type="containsText" dxfId="4" priority="147" operator="containsText" text="V A C A C">
      <formula>NOT(ISERROR(SEARCH(("V A C A C"),(E7))))</formula>
    </cfRule>
  </conditionalFormatting>
  <conditionalFormatting sqref="E7 I7 L7:M7 R6:S6">
    <cfRule type="containsText" dxfId="4" priority="148" operator="containsText" text="VACAC">
      <formula>NOT(ISERROR(SEARCH(("VACAC"),(E7))))</formula>
    </cfRule>
  </conditionalFormatting>
  <conditionalFormatting sqref="E7 I7 L7:M7 R6:S6">
    <cfRule type="containsText" dxfId="6" priority="149" operator="containsText" text="Ts">
      <formula>NOT(ISERROR(SEARCH(("Ts"),(E7))))</formula>
    </cfRule>
  </conditionalFormatting>
  <conditionalFormatting sqref="E7 I7 L7:M7 R6:S6">
    <cfRule type="containsText" dxfId="7" priority="150" operator="containsText" text="D">
      <formula>NOT(ISERROR(SEARCH(("D"),(E7))))</formula>
    </cfRule>
  </conditionalFormatting>
  <conditionalFormatting sqref="E7 I7 L7:M7 R6:S6">
    <cfRule type="containsText" dxfId="8" priority="151" operator="containsText" text="3">
      <formula>NOT(ISERROR(SEARCH(("3"),(E7))))</formula>
    </cfRule>
  </conditionalFormatting>
  <conditionalFormatting sqref="E7 I7 L7:M7 R6:S6">
    <cfRule type="containsText" dxfId="9" priority="152" operator="containsText" text="2">
      <formula>NOT(ISERROR(SEARCH(("2"),(E7))))</formula>
    </cfRule>
  </conditionalFormatting>
  <conditionalFormatting sqref="E7 I7 L7:M7 R6:S6">
    <cfRule type="containsText" dxfId="10" priority="153" operator="containsText" text="1">
      <formula>NOT(ISERROR(SEARCH(("1"),(E7))))</formula>
    </cfRule>
  </conditionalFormatting>
  <conditionalFormatting sqref="V6:X6">
    <cfRule type="containsText" dxfId="7" priority="154" operator="containsText" text="D">
      <formula>NOT(ISERROR(SEARCH(("D"),(V6))))</formula>
    </cfRule>
  </conditionalFormatting>
  <conditionalFormatting sqref="V6:X6">
    <cfRule type="containsText" dxfId="10" priority="155" operator="containsText" text="L">
      <formula>NOT(ISERROR(SEARCH(("L"),(V6))))</formula>
    </cfRule>
  </conditionalFormatting>
  <conditionalFormatting sqref="V7:AE7 CK32:CT33 DO32:DX35">
    <cfRule type="containsText" dxfId="5" priority="156" operator="containsText" text="AP">
      <formula>NOT(ISERROR(SEARCH(("AP"),(V7))))</formula>
    </cfRule>
  </conditionalFormatting>
  <conditionalFormatting sqref="AA9:AD9">
    <cfRule type="containsText" dxfId="11" priority="157" operator="containsText" text="ex">
      <formula>NOT(ISERROR(SEARCH(("ex"),(AA9))))</formula>
    </cfRule>
  </conditionalFormatting>
  <conditionalFormatting sqref="AC6:AE6">
    <cfRule type="containsText" dxfId="4" priority="158" operator="containsText" text="V A C A C">
      <formula>NOT(ISERROR(SEARCH(("V A C A C"),(AC6))))</formula>
    </cfRule>
  </conditionalFormatting>
  <conditionalFormatting sqref="AC6:AE6">
    <cfRule type="containsText" dxfId="4" priority="159" operator="containsText" text="VACAC">
      <formula>NOT(ISERROR(SEARCH(("VACAC"),(AC6))))</formula>
    </cfRule>
  </conditionalFormatting>
  <conditionalFormatting sqref="AC6:AE6">
    <cfRule type="containsText" dxfId="6" priority="160" operator="containsText" text="Ts">
      <formula>NOT(ISERROR(SEARCH(("Ts"),(AC6))))</formula>
    </cfRule>
  </conditionalFormatting>
  <conditionalFormatting sqref="AC6:AE6">
    <cfRule type="containsText" dxfId="7" priority="161" operator="containsText" text="D">
      <formula>NOT(ISERROR(SEARCH(("D"),(AC6))))</formula>
    </cfRule>
  </conditionalFormatting>
  <conditionalFormatting sqref="AC6:AE6">
    <cfRule type="containsText" dxfId="8" priority="162" operator="containsText" text="3">
      <formula>NOT(ISERROR(SEARCH(("3"),(AC6))))</formula>
    </cfRule>
  </conditionalFormatting>
  <conditionalFormatting sqref="AC6:AE6">
    <cfRule type="containsText" dxfId="9" priority="163" operator="containsText" text="2">
      <formula>NOT(ISERROR(SEARCH(("2"),(AC6))))</formula>
    </cfRule>
  </conditionalFormatting>
  <conditionalFormatting sqref="AC6:AE6">
    <cfRule type="containsText" dxfId="10" priority="164" operator="containsText" text="1">
      <formula>NOT(ISERROR(SEARCH(("1"),(AC6))))</formula>
    </cfRule>
  </conditionalFormatting>
  <conditionalFormatting sqref="AC6:AE6">
    <cfRule type="containsText" dxfId="5" priority="165" operator="containsText" text="AP">
      <formula>NOT(ISERROR(SEARCH(("AP"),(AC6))))</formula>
    </cfRule>
  </conditionalFormatting>
  <conditionalFormatting sqref="AD16:AE16">
    <cfRule type="containsText" dxfId="6" priority="166" operator="containsText" text="Ts">
      <formula>NOT(ISERROR(SEARCH(("Ts"),(AD16))))</formula>
    </cfRule>
  </conditionalFormatting>
  <conditionalFormatting sqref="AD16:AE16">
    <cfRule type="containsText" dxfId="7" priority="167" operator="containsText" text="D">
      <formula>NOT(ISERROR(SEARCH(("D"),(AD16))))</formula>
    </cfRule>
  </conditionalFormatting>
  <conditionalFormatting sqref="AD16:AE16">
    <cfRule type="containsText" dxfId="8" priority="168" operator="containsText" text="3">
      <formula>NOT(ISERROR(SEARCH(("3"),(AD16))))</formula>
    </cfRule>
  </conditionalFormatting>
  <conditionalFormatting sqref="AD16:AE16">
    <cfRule type="containsText" dxfId="9" priority="169" operator="containsText" text="2">
      <formula>NOT(ISERROR(SEARCH(("2"),(AD16))))</formula>
    </cfRule>
  </conditionalFormatting>
  <conditionalFormatting sqref="AD16:AE16">
    <cfRule type="containsText" dxfId="10" priority="170" operator="containsText" text="1">
      <formula>NOT(ISERROR(SEARCH(("1"),(AD16))))</formula>
    </cfRule>
  </conditionalFormatting>
  <conditionalFormatting sqref="H7 O7:AE7 AH7:AJ7 AH18">
    <cfRule type="containsText" dxfId="11" priority="171" operator="containsText" text="ex">
      <formula>NOT(ISERROR(SEARCH(("ex"),(H7))))</formula>
    </cfRule>
  </conditionalFormatting>
  <conditionalFormatting sqref="AH6:AI6">
    <cfRule type="containsText" dxfId="4" priority="172" operator="containsText" text="V A C A C">
      <formula>NOT(ISERROR(SEARCH(("V A C A C"),(AH6))))</formula>
    </cfRule>
  </conditionalFormatting>
  <conditionalFormatting sqref="AH6:AI6">
    <cfRule type="containsText" dxfId="4" priority="173" operator="containsText" text="VACAC">
      <formula>NOT(ISERROR(SEARCH(("VACAC"),(AH6))))</formula>
    </cfRule>
  </conditionalFormatting>
  <conditionalFormatting sqref="AH6:AI6">
    <cfRule type="containsText" dxfId="6" priority="174" operator="containsText" text="Ts">
      <formula>NOT(ISERROR(SEARCH(("Ts"),(AH6))))</formula>
    </cfRule>
  </conditionalFormatting>
  <conditionalFormatting sqref="AH6:AI6">
    <cfRule type="containsText" dxfId="7" priority="175" operator="containsText" text="D">
      <formula>NOT(ISERROR(SEARCH(("D"),(AH6))))</formula>
    </cfRule>
  </conditionalFormatting>
  <conditionalFormatting sqref="AH6:AI6">
    <cfRule type="containsText" dxfId="8" priority="176" operator="containsText" text="3">
      <formula>NOT(ISERROR(SEARCH(("3"),(AH6))))</formula>
    </cfRule>
  </conditionalFormatting>
  <conditionalFormatting sqref="AH6:AI6">
    <cfRule type="containsText" dxfId="9" priority="177" operator="containsText" text="2">
      <formula>NOT(ISERROR(SEARCH(("2"),(AH6))))</formula>
    </cfRule>
  </conditionalFormatting>
  <conditionalFormatting sqref="AH6:AI6">
    <cfRule type="containsText" dxfId="10" priority="178" operator="containsText" text="1">
      <formula>NOT(ISERROR(SEARCH(("1"),(AH6))))</formula>
    </cfRule>
  </conditionalFormatting>
  <conditionalFormatting sqref="D11:AE11 AH11:AJ17">
    <cfRule type="containsText" dxfId="5" priority="179" operator="containsText" text="AP">
      <formula>NOT(ISERROR(SEARCH(("AP"),(D11))))</formula>
    </cfRule>
  </conditionalFormatting>
  <conditionalFormatting sqref="D31:AE31 AH18:AJ35">
    <cfRule type="containsText" dxfId="5" priority="180" operator="containsText" text="AP">
      <formula>NOT(ISERROR(SEARCH(("AP"),(D31))))</formula>
    </cfRule>
  </conditionalFormatting>
  <conditionalFormatting sqref="AH8:BI8">
    <cfRule type="containsText" dxfId="6" priority="181" operator="containsText" text="Ts">
      <formula>NOT(ISERROR(SEARCH(("Ts"),(AH8))))</formula>
    </cfRule>
  </conditionalFormatting>
  <conditionalFormatting sqref="AH8:BI8">
    <cfRule type="containsText" dxfId="4" priority="182" operator="containsText" text="V A C A C">
      <formula>NOT(ISERROR(SEARCH(("V A C A C"),(AH8))))</formula>
    </cfRule>
  </conditionalFormatting>
  <conditionalFormatting sqref="AH8:BI8">
    <cfRule type="containsText" dxfId="4" priority="183" operator="containsText" text="VACAC">
      <formula>NOT(ISERROR(SEARCH(("VACAC"),(AH8))))</formula>
    </cfRule>
  </conditionalFormatting>
  <conditionalFormatting sqref="AH8:BI8">
    <cfRule type="containsText" dxfId="7" priority="184" operator="containsText" text="D">
      <formula>NOT(ISERROR(SEARCH(("D"),(AH8))))</formula>
    </cfRule>
  </conditionalFormatting>
  <conditionalFormatting sqref="AH8:BI8">
    <cfRule type="containsText" dxfId="8" priority="185" operator="containsText" text="3">
      <formula>NOT(ISERROR(SEARCH(("3"),(AH8))))</formula>
    </cfRule>
  </conditionalFormatting>
  <conditionalFormatting sqref="AH8:BI8">
    <cfRule type="containsText" dxfId="9" priority="186" operator="containsText" text="2">
      <formula>NOT(ISERROR(SEARCH(("2"),(AH8))))</formula>
    </cfRule>
  </conditionalFormatting>
  <conditionalFormatting sqref="AH8:BI8">
    <cfRule type="containsText" dxfId="10" priority="187" operator="containsText" text="1">
      <formula>NOT(ISERROR(SEARCH(("1"),(AH8))))</formula>
    </cfRule>
  </conditionalFormatting>
  <conditionalFormatting sqref="AH10:BI10 AH12:BI12">
    <cfRule type="containsText" dxfId="4" priority="188" operator="containsText" text="V A C A C">
      <formula>NOT(ISERROR(SEARCH(("V A C A C"),(AH10))))</formula>
    </cfRule>
  </conditionalFormatting>
  <conditionalFormatting sqref="AH10:BI10 AH12:BI12">
    <cfRule type="containsText" dxfId="4" priority="189" operator="containsText" text="VACAC">
      <formula>NOT(ISERROR(SEARCH(("VACAC"),(AH10))))</formula>
    </cfRule>
  </conditionalFormatting>
  <conditionalFormatting sqref="AH13:BI13">
    <cfRule type="containsText" dxfId="11" priority="190" operator="containsText" text="ex">
      <formula>NOT(ISERROR(SEARCH(("ex"),(AH13))))</formula>
    </cfRule>
  </conditionalFormatting>
  <conditionalFormatting sqref="AH14:BI14">
    <cfRule type="containsText" dxfId="4" priority="191" operator="containsText" text="V A C A C">
      <formula>NOT(ISERROR(SEARCH(("V A C A C"),(AH14))))</formula>
    </cfRule>
  </conditionalFormatting>
  <conditionalFormatting sqref="AH14:BI14">
    <cfRule type="containsText" dxfId="4" priority="192" operator="containsText" text="VACAC">
      <formula>NOT(ISERROR(SEARCH(("VACAC"),(AH14))))</formula>
    </cfRule>
  </conditionalFormatting>
  <conditionalFormatting sqref="AH15:BI15">
    <cfRule type="containsText" dxfId="11" priority="193" operator="containsText" text="ex">
      <formula>NOT(ISERROR(SEARCH(("ex"),(AH15))))</formula>
    </cfRule>
  </conditionalFormatting>
  <conditionalFormatting sqref="AH16:BI16">
    <cfRule type="containsText" dxfId="4" priority="194" operator="containsText" text="V A C A C">
      <formula>NOT(ISERROR(SEARCH(("V A C A C"),(AH16))))</formula>
    </cfRule>
  </conditionalFormatting>
  <conditionalFormatting sqref="AH16:BI16">
    <cfRule type="containsText" dxfId="4" priority="195" operator="containsText" text="VACAC">
      <formula>NOT(ISERROR(SEARCH(("VACAC"),(AH16))))</formula>
    </cfRule>
  </conditionalFormatting>
  <conditionalFormatting sqref="AH18:BI18">
    <cfRule type="containsText" dxfId="4" priority="196" operator="containsText" text="V A C A C">
      <formula>NOT(ISERROR(SEARCH(("V A C A C"),(AH18))))</formula>
    </cfRule>
  </conditionalFormatting>
  <conditionalFormatting sqref="AH18:BI18">
    <cfRule type="containsText" dxfId="4" priority="197" operator="containsText" text="VACAC">
      <formula>NOT(ISERROR(SEARCH(("VACAC"),(AH18))))</formula>
    </cfRule>
  </conditionalFormatting>
  <conditionalFormatting sqref="AH19:BI19">
    <cfRule type="containsText" dxfId="11" priority="198" operator="containsText" text="ex">
      <formula>NOT(ISERROR(SEARCH(("ex"),(AH19))))</formula>
    </cfRule>
  </conditionalFormatting>
  <conditionalFormatting sqref="AH20:BI20">
    <cfRule type="containsText" dxfId="4" priority="199" operator="containsText" text="V A C A C">
      <formula>NOT(ISERROR(SEARCH(("V A C A C"),(AH20))))</formula>
    </cfRule>
  </conditionalFormatting>
  <conditionalFormatting sqref="AH20:BI20">
    <cfRule type="containsText" dxfId="4" priority="200" operator="containsText" text="VACAC">
      <formula>NOT(ISERROR(SEARCH(("VACAC"),(AH20))))</formula>
    </cfRule>
  </conditionalFormatting>
  <conditionalFormatting sqref="AH21:BI21">
    <cfRule type="containsText" dxfId="11" priority="201" operator="containsText" text="ex">
      <formula>NOT(ISERROR(SEARCH(("ex"),(AH21))))</formula>
    </cfRule>
  </conditionalFormatting>
  <conditionalFormatting sqref="AH22:BI22">
    <cfRule type="containsText" dxfId="4" priority="202" operator="containsText" text="V A C A C">
      <formula>NOT(ISERROR(SEARCH(("V A C A C"),(AH22))))</formula>
    </cfRule>
  </conditionalFormatting>
  <conditionalFormatting sqref="AH22:BI22">
    <cfRule type="containsText" dxfId="4" priority="203" operator="containsText" text="VACAC">
      <formula>NOT(ISERROR(SEARCH(("VACAC"),(AH22))))</formula>
    </cfRule>
  </conditionalFormatting>
  <conditionalFormatting sqref="AH23:BI23">
    <cfRule type="containsText" dxfId="11" priority="204" operator="containsText" text="ex">
      <formula>NOT(ISERROR(SEARCH(("ex"),(AH23))))</formula>
    </cfRule>
  </conditionalFormatting>
  <conditionalFormatting sqref="AH24:BI24">
    <cfRule type="containsText" dxfId="4" priority="205" operator="containsText" text="V A C A C">
      <formula>NOT(ISERROR(SEARCH(("V A C A C"),(AH24))))</formula>
    </cfRule>
  </conditionalFormatting>
  <conditionalFormatting sqref="AH24:BI24">
    <cfRule type="containsText" dxfId="4" priority="206" operator="containsText" text="VACAC">
      <formula>NOT(ISERROR(SEARCH(("VACAC"),(AH24))))</formula>
    </cfRule>
  </conditionalFormatting>
  <conditionalFormatting sqref="AH25:BI25">
    <cfRule type="containsText" dxfId="11" priority="207" operator="containsText" text="ex">
      <formula>NOT(ISERROR(SEARCH(("ex"),(AH25))))</formula>
    </cfRule>
  </conditionalFormatting>
  <conditionalFormatting sqref="AH26:BI26">
    <cfRule type="containsText" dxfId="4" priority="208" operator="containsText" text="V A C A C">
      <formula>NOT(ISERROR(SEARCH(("V A C A C"),(AH26))))</formula>
    </cfRule>
  </conditionalFormatting>
  <conditionalFormatting sqref="AH26:BI26">
    <cfRule type="containsText" dxfId="4" priority="209" operator="containsText" text="VACAC">
      <formula>NOT(ISERROR(SEARCH(("VACAC"),(AH26))))</formula>
    </cfRule>
  </conditionalFormatting>
  <conditionalFormatting sqref="AH27:BI27">
    <cfRule type="containsText" dxfId="11" priority="210" operator="containsText" text="ex">
      <formula>NOT(ISERROR(SEARCH(("ex"),(AH27))))</formula>
    </cfRule>
  </conditionalFormatting>
  <conditionalFormatting sqref="AH28:BI28">
    <cfRule type="containsText" dxfId="4" priority="211" operator="containsText" text="V A C A C">
      <formula>NOT(ISERROR(SEARCH(("V A C A C"),(AH28))))</formula>
    </cfRule>
  </conditionalFormatting>
  <conditionalFormatting sqref="AH28:BI28">
    <cfRule type="containsText" dxfId="4" priority="212" operator="containsText" text="VACAC">
      <formula>NOT(ISERROR(SEARCH(("VACAC"),(AH28))))</formula>
    </cfRule>
  </conditionalFormatting>
  <conditionalFormatting sqref="AH29:BI29">
    <cfRule type="containsText" dxfId="11" priority="213" operator="containsText" text="ex">
      <formula>NOT(ISERROR(SEARCH(("ex"),(AH29))))</formula>
    </cfRule>
  </conditionalFormatting>
  <conditionalFormatting sqref="AH30:BI30">
    <cfRule type="containsText" dxfId="4" priority="214" operator="containsText" text="V A C A C">
      <formula>NOT(ISERROR(SEARCH(("V A C A C"),(AH30))))</formula>
    </cfRule>
  </conditionalFormatting>
  <conditionalFormatting sqref="AH30:BI30">
    <cfRule type="containsText" dxfId="4" priority="215" operator="containsText" text="VACAC">
      <formula>NOT(ISERROR(SEARCH(("VACAC"),(AH30))))</formula>
    </cfRule>
  </conditionalFormatting>
  <conditionalFormatting sqref="AH31:BI31">
    <cfRule type="containsText" dxfId="11" priority="216" operator="containsText" text="ex">
      <formula>NOT(ISERROR(SEARCH(("ex"),(AH31))))</formula>
    </cfRule>
  </conditionalFormatting>
  <conditionalFormatting sqref="D32:AE32 AH32:BI32">
    <cfRule type="containsText" dxfId="6" priority="217" operator="containsText" text="Ts">
      <formula>NOT(ISERROR(SEARCH(("Ts"),(D32))))</formula>
    </cfRule>
  </conditionalFormatting>
  <conditionalFormatting sqref="AH32:BI32">
    <cfRule type="containsText" dxfId="4" priority="218" operator="containsText" text="V A C A C">
      <formula>NOT(ISERROR(SEARCH(("V A C A C"),(AH32))))</formula>
    </cfRule>
  </conditionalFormatting>
  <conditionalFormatting sqref="AH32:BI32">
    <cfRule type="containsText" dxfId="4" priority="219" operator="containsText" text="VACAC">
      <formula>NOT(ISERROR(SEARCH(("VACAC"),(AH32))))</formula>
    </cfRule>
  </conditionalFormatting>
  <conditionalFormatting sqref="AH34:BI34 BL34:BO34">
    <cfRule type="containsText" dxfId="6" priority="220" operator="containsText" text="Ts">
      <formula>NOT(ISERROR(SEARCH(("Ts"),(AH34))))</formula>
    </cfRule>
  </conditionalFormatting>
  <conditionalFormatting sqref="AH34:BI34 BL34:BO34">
    <cfRule type="containsText" dxfId="7" priority="221" operator="containsText" text="D">
      <formula>NOT(ISERROR(SEARCH(("D"),(AH34))))</formula>
    </cfRule>
  </conditionalFormatting>
  <conditionalFormatting sqref="AH34:BI34">
    <cfRule type="containsText" dxfId="4" priority="222" operator="containsText" text="V A C A C">
      <formula>NOT(ISERROR(SEARCH(("V A C A C"),(AH34))))</formula>
    </cfRule>
  </conditionalFormatting>
  <conditionalFormatting sqref="AH34:BI34">
    <cfRule type="containsText" dxfId="4" priority="223" operator="containsText" text="VACAC">
      <formula>NOT(ISERROR(SEARCH(("VACAC"),(AH34))))</formula>
    </cfRule>
  </conditionalFormatting>
  <conditionalFormatting sqref="AK4">
    <cfRule type="containsText" dxfId="4" priority="224" operator="containsText" text="V A C A C">
      <formula>NOT(ISERROR(SEARCH(("V A C A C"),(AK4))))</formula>
    </cfRule>
  </conditionalFormatting>
  <conditionalFormatting sqref="AK4">
    <cfRule type="containsText" dxfId="4" priority="225" operator="containsText" text="VACAC">
      <formula>NOT(ISERROR(SEARCH(("VACAC"),(AK4))))</formula>
    </cfRule>
  </conditionalFormatting>
  <conditionalFormatting sqref="AK4">
    <cfRule type="containsText" dxfId="5" priority="226" operator="containsText" text="AP">
      <formula>NOT(ISERROR(SEARCH(("AP"),(AK4))))</formula>
    </cfRule>
  </conditionalFormatting>
  <conditionalFormatting sqref="AK4">
    <cfRule type="containsText" dxfId="6" priority="227" operator="containsText" text="Ts">
      <formula>NOT(ISERROR(SEARCH(("Ts"),(AK4))))</formula>
    </cfRule>
  </conditionalFormatting>
  <conditionalFormatting sqref="AK4">
    <cfRule type="containsText" dxfId="7" priority="228" operator="containsText" text="D">
      <formula>NOT(ISERROR(SEARCH(("D"),(AK4))))</formula>
    </cfRule>
  </conditionalFormatting>
  <conditionalFormatting sqref="AK4">
    <cfRule type="containsText" dxfId="8" priority="229" operator="containsText" text="3">
      <formula>NOT(ISERROR(SEARCH(("3"),(AK4))))</formula>
    </cfRule>
  </conditionalFormatting>
  <conditionalFormatting sqref="AK4">
    <cfRule type="containsText" dxfId="9" priority="230" operator="containsText" text="2">
      <formula>NOT(ISERROR(SEARCH(("2"),(AK4))))</formula>
    </cfRule>
  </conditionalFormatting>
  <conditionalFormatting sqref="AK4">
    <cfRule type="containsText" dxfId="10" priority="231" operator="containsText" text="1">
      <formula>NOT(ISERROR(SEARCH(("1"),(AK4))))</formula>
    </cfRule>
  </conditionalFormatting>
  <conditionalFormatting sqref="AK8:AN27">
    <cfRule type="containsText" dxfId="5" priority="232" operator="containsText" text="AP">
      <formula>NOT(ISERROR(SEARCH(("AP"),(AK8))))</formula>
    </cfRule>
  </conditionalFormatting>
  <conditionalFormatting sqref="AK30:AR30">
    <cfRule type="containsText" dxfId="5" priority="233" operator="containsText" text="AP">
      <formula>NOT(ISERROR(SEARCH(("AP"),(AK30))))</formula>
    </cfRule>
  </conditionalFormatting>
  <conditionalFormatting sqref="AK30:AR30">
    <cfRule type="containsText" dxfId="6" priority="234" operator="containsText" text="Ts">
      <formula>NOT(ISERROR(SEARCH(("Ts"),(AK30))))</formula>
    </cfRule>
  </conditionalFormatting>
  <conditionalFormatting sqref="AK30:AR30">
    <cfRule type="containsText" dxfId="7" priority="235" operator="containsText" text="D">
      <formula>NOT(ISERROR(SEARCH(("D"),(AK30))))</formula>
    </cfRule>
  </conditionalFormatting>
  <conditionalFormatting sqref="AK30:AR30">
    <cfRule type="containsText" dxfId="8" priority="236" operator="containsText" text="3">
      <formula>NOT(ISERROR(SEARCH(("3"),(AK30))))</formula>
    </cfRule>
  </conditionalFormatting>
  <conditionalFormatting sqref="AK30:AR30">
    <cfRule type="containsText" dxfId="9" priority="237" operator="containsText" text="2">
      <formula>NOT(ISERROR(SEARCH(("2"),(AK30))))</formula>
    </cfRule>
  </conditionalFormatting>
  <conditionalFormatting sqref="AK30:AR30">
    <cfRule type="containsText" dxfId="10" priority="238" operator="containsText" text="1">
      <formula>NOT(ISERROR(SEARCH(("1"),(AK30))))</formula>
    </cfRule>
  </conditionalFormatting>
  <conditionalFormatting sqref="AK6:AS6">
    <cfRule type="containsText" dxfId="4" priority="239" operator="containsText" text="V A C A C">
      <formula>NOT(ISERROR(SEARCH(("V A C A C"),(AK6))))</formula>
    </cfRule>
  </conditionalFormatting>
  <conditionalFormatting sqref="AK6:AS6">
    <cfRule type="containsText" dxfId="4" priority="240" operator="containsText" text="VACAC">
      <formula>NOT(ISERROR(SEARCH(("VACAC"),(AK6))))</formula>
    </cfRule>
  </conditionalFormatting>
  <conditionalFormatting sqref="AK6:AS6">
    <cfRule type="containsText" dxfId="6" priority="241" operator="containsText" text="Ts">
      <formula>NOT(ISERROR(SEARCH(("Ts"),(AK6))))</formula>
    </cfRule>
  </conditionalFormatting>
  <conditionalFormatting sqref="AK6:AS6">
    <cfRule type="containsText" dxfId="7" priority="242" operator="containsText" text="D">
      <formula>NOT(ISERROR(SEARCH(("D"),(AK6))))</formula>
    </cfRule>
  </conditionalFormatting>
  <conditionalFormatting sqref="AK6:AS6">
    <cfRule type="containsText" dxfId="8" priority="243" operator="containsText" text="3">
      <formula>NOT(ISERROR(SEARCH(("3"),(AK6))))</formula>
    </cfRule>
  </conditionalFormatting>
  <conditionalFormatting sqref="AK6:AS6">
    <cfRule type="containsText" dxfId="9" priority="244" operator="containsText" text="2">
      <formula>NOT(ISERROR(SEARCH(("2"),(AK6))))</formula>
    </cfRule>
  </conditionalFormatting>
  <conditionalFormatting sqref="AK6:AS6">
    <cfRule type="containsText" dxfId="10" priority="245" operator="containsText" text="1">
      <formula>NOT(ISERROR(SEARCH(("1"),(AK6))))</formula>
    </cfRule>
  </conditionalFormatting>
  <conditionalFormatting sqref="AK6:AU7">
    <cfRule type="containsText" dxfId="5" priority="246" operator="containsText" text="AP">
      <formula>NOT(ISERROR(SEARCH(("AP"),(AK6))))</formula>
    </cfRule>
  </conditionalFormatting>
  <conditionalFormatting sqref="AK34:AU34 AW34:BI34 BL34:BO34">
    <cfRule type="containsText" dxfId="10" priority="247" operator="containsText" text="L">
      <formula>NOT(ISERROR(SEARCH(("L"),(AK34))))</formula>
    </cfRule>
  </conditionalFormatting>
  <conditionalFormatting sqref="AK36:AU36 AW36:BI36">
    <cfRule type="containsText" dxfId="10" priority="248" operator="containsText" text="L">
      <formula>NOT(ISERROR(SEARCH(("L"),(AK36))))</formula>
    </cfRule>
  </conditionalFormatting>
  <conditionalFormatting sqref="AK9:BI9">
    <cfRule type="containsText" dxfId="11" priority="249" operator="containsText" text="ex">
      <formula>NOT(ISERROR(SEARCH(("ex"),(AK9))))</formula>
    </cfRule>
  </conditionalFormatting>
  <conditionalFormatting sqref="AK10:BI10 BD30 BE12 BL10:BO10">
    <cfRule type="containsText" dxfId="7" priority="250" operator="containsText" text="D">
      <formula>NOT(ISERROR(SEARCH(("D"),(AK10))))</formula>
    </cfRule>
  </conditionalFormatting>
  <conditionalFormatting sqref="AK10:BI10 BD30 BE12 BL10:BO10">
    <cfRule type="containsText" dxfId="8" priority="251" operator="containsText" text="3">
      <formula>NOT(ISERROR(SEARCH(("3"),(AK10))))</formula>
    </cfRule>
  </conditionalFormatting>
  <conditionalFormatting sqref="AK10:BI10 BD30 BE12 BL10:BO10">
    <cfRule type="containsText" dxfId="9" priority="252" operator="containsText" text="2">
      <formula>NOT(ISERROR(SEARCH(("2"),(AK10))))</formula>
    </cfRule>
  </conditionalFormatting>
  <conditionalFormatting sqref="AK10:BI10 BD30 BE12 BL10:BO10">
    <cfRule type="containsText" dxfId="10" priority="253" operator="containsText" text="1">
      <formula>NOT(ISERROR(SEARCH(("1"),(AK10))))</formula>
    </cfRule>
  </conditionalFormatting>
  <conditionalFormatting sqref="AK12:BI12 BL12:BO12">
    <cfRule type="containsText" dxfId="6" priority="254" operator="containsText" text="Ts">
      <formula>NOT(ISERROR(SEARCH(("Ts"),(AK12))))</formula>
    </cfRule>
  </conditionalFormatting>
  <conditionalFormatting sqref="AK12:BI12 BL12:BO12">
    <cfRule type="containsText" dxfId="7" priority="255" operator="containsText" text="D">
      <formula>NOT(ISERROR(SEARCH(("D"),(AK12))))</formula>
    </cfRule>
  </conditionalFormatting>
  <conditionalFormatting sqref="AK12:BI12 BL12:BO12">
    <cfRule type="containsText" dxfId="8" priority="256" operator="containsText" text="3">
      <formula>NOT(ISERROR(SEARCH(("3"),(AK12))))</formula>
    </cfRule>
  </conditionalFormatting>
  <conditionalFormatting sqref="AK12:BI12 BL12:BO12">
    <cfRule type="containsText" dxfId="9" priority="257" operator="containsText" text="2">
      <formula>NOT(ISERROR(SEARCH(("2"),(AK12))))</formula>
    </cfRule>
  </conditionalFormatting>
  <conditionalFormatting sqref="AK12:BI12 BL12:BO12">
    <cfRule type="containsText" dxfId="10" priority="258" operator="containsText" text="1">
      <formula>NOT(ISERROR(SEARCH(("1"),(AK12))))</formula>
    </cfRule>
  </conditionalFormatting>
  <conditionalFormatting sqref="AK14:BI14 BL14:BO14">
    <cfRule type="containsText" dxfId="7" priority="259" operator="containsText" text="D">
      <formula>NOT(ISERROR(SEARCH(("D"),(AK14))))</formula>
    </cfRule>
  </conditionalFormatting>
  <conditionalFormatting sqref="AK14:BI14 BL14:BO14">
    <cfRule type="containsText" dxfId="8" priority="260" operator="containsText" text="3">
      <formula>NOT(ISERROR(SEARCH(("3"),(AK14))))</formula>
    </cfRule>
  </conditionalFormatting>
  <conditionalFormatting sqref="AK14:BI14 BL14:BO14">
    <cfRule type="containsText" dxfId="9" priority="261" operator="containsText" text="2">
      <formula>NOT(ISERROR(SEARCH(("2"),(AK14))))</formula>
    </cfRule>
  </conditionalFormatting>
  <conditionalFormatting sqref="AK14:BI14 BL14:BO14">
    <cfRule type="containsText" dxfId="10" priority="262" operator="containsText" text="1">
      <formula>NOT(ISERROR(SEARCH(("1"),(AK14))))</formula>
    </cfRule>
  </conditionalFormatting>
  <conditionalFormatting sqref="AK16:BI16 BL16:BO16">
    <cfRule type="containsText" dxfId="7" priority="263" operator="containsText" text="D">
      <formula>NOT(ISERROR(SEARCH(("D"),(AK16))))</formula>
    </cfRule>
  </conditionalFormatting>
  <conditionalFormatting sqref="AK16:BI16 BL16:BO16">
    <cfRule type="containsText" dxfId="8" priority="264" operator="containsText" text="3">
      <formula>NOT(ISERROR(SEARCH(("3"),(AK16))))</formula>
    </cfRule>
  </conditionalFormatting>
  <conditionalFormatting sqref="AK16:BI16 BL16:BO16">
    <cfRule type="containsText" dxfId="9" priority="265" operator="containsText" text="2">
      <formula>NOT(ISERROR(SEARCH(("2"),(AK16))))</formula>
    </cfRule>
  </conditionalFormatting>
  <conditionalFormatting sqref="AK16:BI16 BL16:BO16">
    <cfRule type="containsText" dxfId="10" priority="266" operator="containsText" text="1">
      <formula>NOT(ISERROR(SEARCH(("1"),(AK16))))</formula>
    </cfRule>
  </conditionalFormatting>
  <conditionalFormatting sqref="AK17:BI17">
    <cfRule type="containsText" dxfId="11" priority="267" operator="containsText" text="ex">
      <formula>NOT(ISERROR(SEARCH(("ex"),(AK17))))</formula>
    </cfRule>
  </conditionalFormatting>
  <conditionalFormatting sqref="AK18:BI18 BL18:BO18">
    <cfRule type="containsText" dxfId="7" priority="268" operator="containsText" text="D">
      <formula>NOT(ISERROR(SEARCH(("D"),(AK18))))</formula>
    </cfRule>
  </conditionalFormatting>
  <conditionalFormatting sqref="AK18:BI18 BL18:BO18">
    <cfRule type="containsText" dxfId="8" priority="269" operator="containsText" text="3">
      <formula>NOT(ISERROR(SEARCH(("3"),(AK18))))</formula>
    </cfRule>
  </conditionalFormatting>
  <conditionalFormatting sqref="AK18:BI18 BL18:BO18">
    <cfRule type="containsText" dxfId="9" priority="270" operator="containsText" text="2">
      <formula>NOT(ISERROR(SEARCH(("2"),(AK18))))</formula>
    </cfRule>
  </conditionalFormatting>
  <conditionalFormatting sqref="AK18:BI18 BL18:BO18">
    <cfRule type="containsText" dxfId="10" priority="271" operator="containsText" text="1">
      <formula>NOT(ISERROR(SEARCH(("1"),(AK18))))</formula>
    </cfRule>
  </conditionalFormatting>
  <conditionalFormatting sqref="AK20:BI20 BL20:BO20">
    <cfRule type="containsText" dxfId="7" priority="272" operator="containsText" text="D">
      <formula>NOT(ISERROR(SEARCH(("D"),(AK20))))</formula>
    </cfRule>
  </conditionalFormatting>
  <conditionalFormatting sqref="AK20:BI20 BL20:BO20">
    <cfRule type="containsText" dxfId="8" priority="273" operator="containsText" text="3">
      <formula>NOT(ISERROR(SEARCH(("3"),(AK20))))</formula>
    </cfRule>
  </conditionalFormatting>
  <conditionalFormatting sqref="AK20:BI20 BL20:BO20">
    <cfRule type="containsText" dxfId="9" priority="274" operator="containsText" text="2">
      <formula>NOT(ISERROR(SEARCH(("2"),(AK20))))</formula>
    </cfRule>
  </conditionalFormatting>
  <conditionalFormatting sqref="AK20:BI20 BL20:BO20">
    <cfRule type="containsText" dxfId="10" priority="275" operator="containsText" text="1">
      <formula>NOT(ISERROR(SEARCH(("1"),(AK20))))</formula>
    </cfRule>
  </conditionalFormatting>
  <conditionalFormatting sqref="AK22:BI22 BL22:BO22">
    <cfRule type="containsText" dxfId="7" priority="276" operator="containsText" text="D">
      <formula>NOT(ISERROR(SEARCH(("D"),(AK22))))</formula>
    </cfRule>
  </conditionalFormatting>
  <conditionalFormatting sqref="AK22:BI22 BL22:BO22">
    <cfRule type="containsText" dxfId="8" priority="277" operator="containsText" text="3">
      <formula>NOT(ISERROR(SEARCH(("3"),(AK22))))</formula>
    </cfRule>
  </conditionalFormatting>
  <conditionalFormatting sqref="AK22:BI22 BL22:BO22">
    <cfRule type="containsText" dxfId="9" priority="278" operator="containsText" text="2">
      <formula>NOT(ISERROR(SEARCH(("2"),(AK22))))</formula>
    </cfRule>
  </conditionalFormatting>
  <conditionalFormatting sqref="AK22:BI22 BL22:BO22">
    <cfRule type="containsText" dxfId="10" priority="279" operator="containsText" text="1">
      <formula>NOT(ISERROR(SEARCH(("1"),(AK22))))</formula>
    </cfRule>
  </conditionalFormatting>
  <conditionalFormatting sqref="AK24:BI24 BL24:BO24">
    <cfRule type="containsText" dxfId="7" priority="280" operator="containsText" text="D">
      <formula>NOT(ISERROR(SEARCH(("D"),(AK24))))</formula>
    </cfRule>
  </conditionalFormatting>
  <conditionalFormatting sqref="AK24:BI24 BL24:BO24">
    <cfRule type="containsText" dxfId="8" priority="281" operator="containsText" text="3">
      <formula>NOT(ISERROR(SEARCH(("3"),(AK24))))</formula>
    </cfRule>
  </conditionalFormatting>
  <conditionalFormatting sqref="AK24:BI24 BL24:BO24">
    <cfRule type="containsText" dxfId="9" priority="282" operator="containsText" text="2">
      <formula>NOT(ISERROR(SEARCH(("2"),(AK24))))</formula>
    </cfRule>
  </conditionalFormatting>
  <conditionalFormatting sqref="AK24:BI24 BL24:BO24">
    <cfRule type="containsText" dxfId="10" priority="283" operator="containsText" text="1">
      <formula>NOT(ISERROR(SEARCH(("1"),(AK24))))</formula>
    </cfRule>
  </conditionalFormatting>
  <conditionalFormatting sqref="AK26:BI26 BL26:BO26">
    <cfRule type="containsText" dxfId="7" priority="284" operator="containsText" text="D">
      <formula>NOT(ISERROR(SEARCH(("D"),(AK26))))</formula>
    </cfRule>
  </conditionalFormatting>
  <conditionalFormatting sqref="AK26:BI26 BL26:BO26">
    <cfRule type="containsText" dxfId="8" priority="285" operator="containsText" text="3">
      <formula>NOT(ISERROR(SEARCH(("3"),(AK26))))</formula>
    </cfRule>
  </conditionalFormatting>
  <conditionalFormatting sqref="AK26:BI26 BL26:BO26">
    <cfRule type="containsText" dxfId="9" priority="286" operator="containsText" text="2">
      <formula>NOT(ISERROR(SEARCH(("2"),(AK26))))</formula>
    </cfRule>
  </conditionalFormatting>
  <conditionalFormatting sqref="AK26:BI26 BL26:BO26">
    <cfRule type="containsText" dxfId="10" priority="287" operator="containsText" text="1">
      <formula>NOT(ISERROR(SEARCH(("1"),(AK26))))</formula>
    </cfRule>
  </conditionalFormatting>
  <conditionalFormatting sqref="AK28:BI28 BL28:BO28">
    <cfRule type="containsText" dxfId="8" priority="288" operator="containsText" text="3">
      <formula>NOT(ISERROR(SEARCH(("3"),(AK28))))</formula>
    </cfRule>
  </conditionalFormatting>
  <conditionalFormatting sqref="AK28:BI28 BL28:BO28">
    <cfRule type="containsText" dxfId="9" priority="289" operator="containsText" text="2">
      <formula>NOT(ISERROR(SEARCH(("2"),(AK28))))</formula>
    </cfRule>
  </conditionalFormatting>
  <conditionalFormatting sqref="AK28:BI28 BL28:BO28">
    <cfRule type="containsText" dxfId="10" priority="290" operator="containsText" text="1">
      <formula>NOT(ISERROR(SEARCH(("1"),(AK28))))</formula>
    </cfRule>
  </conditionalFormatting>
  <conditionalFormatting sqref="AK28:BI29">
    <cfRule type="containsText" dxfId="5" priority="291" operator="containsText" text="AP">
      <formula>NOT(ISERROR(SEARCH(("AP"),(AK28))))</formula>
    </cfRule>
  </conditionalFormatting>
  <conditionalFormatting sqref="AK31:BI31">
    <cfRule type="containsText" dxfId="5" priority="292" operator="containsText" text="AP">
      <formula>NOT(ISERROR(SEARCH(("AP"),(AK31))))</formula>
    </cfRule>
  </conditionalFormatting>
  <conditionalFormatting sqref="AK32:BI32 BL32:BO32">
    <cfRule type="containsText" dxfId="8" priority="293" operator="containsText" text="3">
      <formula>NOT(ISERROR(SEARCH(("3"),(AK32))))</formula>
    </cfRule>
  </conditionalFormatting>
  <conditionalFormatting sqref="AK32:BI32 BL32:BO32">
    <cfRule type="containsText" dxfId="9" priority="294" operator="containsText" text="2">
      <formula>NOT(ISERROR(SEARCH(("2"),(AK32))))</formula>
    </cfRule>
  </conditionalFormatting>
  <conditionalFormatting sqref="AK32:BI32 BL32:BO32">
    <cfRule type="containsText" dxfId="10" priority="295" operator="containsText" text="1">
      <formula>NOT(ISERROR(SEARCH(("1"),(AK32))))</formula>
    </cfRule>
  </conditionalFormatting>
  <conditionalFormatting sqref="AK32:BI33">
    <cfRule type="containsText" dxfId="5" priority="296" operator="containsText" text="AP">
      <formula>NOT(ISERROR(SEARCH(("AP"),(AK32))))</formula>
    </cfRule>
  </conditionalFormatting>
  <conditionalFormatting sqref="AK33:BI33 BL33:BO33">
    <cfRule type="containsText" dxfId="11" priority="297" operator="containsText" text="ex">
      <formula>NOT(ISERROR(SEARCH(("ex"),(AK33))))</formula>
    </cfRule>
  </conditionalFormatting>
  <conditionalFormatting sqref="AK34:BI34 BL34:BO34">
    <cfRule type="containsText" dxfId="7" priority="298" operator="containsText" text="D">
      <formula>NOT(ISERROR(SEARCH(("D"),(AK34))))</formula>
    </cfRule>
  </conditionalFormatting>
  <conditionalFormatting sqref="AK34:BI34 BL34:BO34">
    <cfRule type="containsText" dxfId="8" priority="299" operator="containsText" text="3">
      <formula>NOT(ISERROR(SEARCH(("3"),(AK34))))</formula>
    </cfRule>
  </conditionalFormatting>
  <conditionalFormatting sqref="AK34:BI34 BL34:BO34">
    <cfRule type="containsText" dxfId="9" priority="300" operator="containsText" text="2">
      <formula>NOT(ISERROR(SEARCH(("2"),(AK34))))</formula>
    </cfRule>
  </conditionalFormatting>
  <conditionalFormatting sqref="AK34:BI34 BL34:BO34">
    <cfRule type="containsText" dxfId="10" priority="301" operator="containsText" text="1">
      <formula>NOT(ISERROR(SEARCH(("1"),(AK34))))</formula>
    </cfRule>
  </conditionalFormatting>
  <conditionalFormatting sqref="AK35:BI35 BL35:BO35">
    <cfRule type="containsText" dxfId="11" priority="302" operator="containsText" text="ex">
      <formula>NOT(ISERROR(SEARCH(("ex"),(AK35))))</formula>
    </cfRule>
  </conditionalFormatting>
  <conditionalFormatting sqref="AK7:BI7 AL11:BI11">
    <cfRule type="containsText" dxfId="11" priority="303" operator="containsText" text="ex">
      <formula>NOT(ISERROR(SEARCH(("ex"),(AK7))))</formula>
    </cfRule>
  </conditionalFormatting>
  <conditionalFormatting sqref="AM13">
    <cfRule type="containsText" dxfId="11" priority="304" operator="containsText" text="ex">
      <formula>NOT(ISERROR(SEARCH(("ex"),(AM13))))</formula>
    </cfRule>
  </conditionalFormatting>
  <conditionalFormatting sqref="AO8:BI27">
    <cfRule type="containsText" dxfId="5" priority="305" operator="containsText" text="AP">
      <formula>NOT(ISERROR(SEARCH(("AP"),(AO8))))</formula>
    </cfRule>
  </conditionalFormatting>
  <conditionalFormatting sqref="AS30:AU30">
    <cfRule type="containsText" dxfId="5" priority="306" operator="containsText" text="AP">
      <formula>NOT(ISERROR(SEARCH(("AP"),(AS30))))</formula>
    </cfRule>
  </conditionalFormatting>
  <conditionalFormatting sqref="AS30:BI30">
    <cfRule type="containsText" dxfId="6" priority="307" operator="containsText" text="Ts">
      <formula>NOT(ISERROR(SEARCH(("Ts"),(AS30))))</formula>
    </cfRule>
  </conditionalFormatting>
  <conditionalFormatting sqref="AS30:BI30">
    <cfRule type="containsText" dxfId="7" priority="308" operator="containsText" text="D">
      <formula>NOT(ISERROR(SEARCH(("D"),(AS30))))</formula>
    </cfRule>
  </conditionalFormatting>
  <conditionalFormatting sqref="AS30:BI30">
    <cfRule type="containsText" dxfId="8" priority="309" operator="containsText" text="3">
      <formula>NOT(ISERROR(SEARCH(("3"),(AS30))))</formula>
    </cfRule>
  </conditionalFormatting>
  <conditionalFormatting sqref="AS30:BI30">
    <cfRule type="containsText" dxfId="9" priority="310" operator="containsText" text="2">
      <formula>NOT(ISERROR(SEARCH(("2"),(AS30))))</formula>
    </cfRule>
  </conditionalFormatting>
  <conditionalFormatting sqref="AS30:BI30">
    <cfRule type="containsText" dxfId="10" priority="311" operator="containsText" text="1">
      <formula>NOT(ISERROR(SEARCH(("1"),(AS30))))</formula>
    </cfRule>
  </conditionalFormatting>
  <conditionalFormatting sqref="AT6:BI6">
    <cfRule type="containsText" dxfId="4" priority="312" operator="containsText" text="V A C A C">
      <formula>NOT(ISERROR(SEARCH(("V A C A C"),(AT6))))</formula>
    </cfRule>
  </conditionalFormatting>
  <conditionalFormatting sqref="AT6:BI6">
    <cfRule type="containsText" dxfId="4" priority="313" operator="containsText" text="VACAC">
      <formula>NOT(ISERROR(SEARCH(("VACAC"),(AT6))))</formula>
    </cfRule>
  </conditionalFormatting>
  <conditionalFormatting sqref="AT6:BI6">
    <cfRule type="containsText" dxfId="6" priority="314" operator="containsText" text="Ts">
      <formula>NOT(ISERROR(SEARCH(("Ts"),(AT6))))</formula>
    </cfRule>
  </conditionalFormatting>
  <conditionalFormatting sqref="AT6:BI6">
    <cfRule type="containsText" dxfId="7" priority="315" operator="containsText" text="D">
      <formula>NOT(ISERROR(SEARCH(("D"),(AT6))))</formula>
    </cfRule>
  </conditionalFormatting>
  <conditionalFormatting sqref="AT6:BI6">
    <cfRule type="containsText" dxfId="8" priority="316" operator="containsText" text="3">
      <formula>NOT(ISERROR(SEARCH(("3"),(AT6))))</formula>
    </cfRule>
  </conditionalFormatting>
  <conditionalFormatting sqref="AT6:BI6">
    <cfRule type="containsText" dxfId="9" priority="317" operator="containsText" text="2">
      <formula>NOT(ISERROR(SEARCH(("2"),(AT6))))</formula>
    </cfRule>
  </conditionalFormatting>
  <conditionalFormatting sqref="AT6:BI6">
    <cfRule type="containsText" dxfId="10" priority="318" operator="containsText" text="1">
      <formula>NOT(ISERROR(SEARCH(("1"),(AT6))))</formula>
    </cfRule>
  </conditionalFormatting>
  <conditionalFormatting sqref="AV34">
    <cfRule type="containsText" dxfId="4" priority="319" operator="containsText" text="V A C A C">
      <formula>NOT(ISERROR(SEARCH(("V A C A C"),(AV34))))</formula>
    </cfRule>
  </conditionalFormatting>
  <conditionalFormatting sqref="AV34">
    <cfRule type="containsText" dxfId="4" priority="320" operator="containsText" text="VACAC">
      <formula>NOT(ISERROR(SEARCH(("VACAC"),(AV34))))</formula>
    </cfRule>
  </conditionalFormatting>
  <conditionalFormatting sqref="AV34">
    <cfRule type="containsText" dxfId="5" priority="321" operator="containsText" text="AP">
      <formula>NOT(ISERROR(SEARCH(("AP"),(AV34))))</formula>
    </cfRule>
  </conditionalFormatting>
  <conditionalFormatting sqref="AV34">
    <cfRule type="containsText" dxfId="6" priority="322" operator="containsText" text="Ts">
      <formula>NOT(ISERROR(SEARCH(("Ts"),(AV34))))</formula>
    </cfRule>
  </conditionalFormatting>
  <conditionalFormatting sqref="AV34">
    <cfRule type="containsText" dxfId="8" priority="323" operator="containsText" text="3">
      <formula>NOT(ISERROR(SEARCH(("3"),(AV34))))</formula>
    </cfRule>
  </conditionalFormatting>
  <conditionalFormatting sqref="AV34">
    <cfRule type="containsText" dxfId="9" priority="324" operator="containsText" text="2">
      <formula>NOT(ISERROR(SEARCH(("2"),(AV34))))</formula>
    </cfRule>
  </conditionalFormatting>
  <conditionalFormatting sqref="AV34">
    <cfRule type="containsText" dxfId="10" priority="325" operator="containsText" text="1">
      <formula>NOT(ISERROR(SEARCH(("1"),(AV34))))</formula>
    </cfRule>
  </conditionalFormatting>
  <conditionalFormatting sqref="AV36">
    <cfRule type="containsText" dxfId="4" priority="326" operator="containsText" text="V A C A C">
      <formula>NOT(ISERROR(SEARCH(("V A C A C"),(AV36))))</formula>
    </cfRule>
  </conditionalFormatting>
  <conditionalFormatting sqref="AV36">
    <cfRule type="containsText" dxfId="4" priority="327" operator="containsText" text="VACAC">
      <formula>NOT(ISERROR(SEARCH(("VACAC"),(AV36))))</formula>
    </cfRule>
  </conditionalFormatting>
  <conditionalFormatting sqref="AV36">
    <cfRule type="containsText" dxfId="5" priority="328" operator="containsText" text="AP">
      <formula>NOT(ISERROR(SEARCH(("AP"),(AV36))))</formula>
    </cfRule>
  </conditionalFormatting>
  <conditionalFormatting sqref="AV36">
    <cfRule type="containsText" dxfId="6" priority="329" operator="containsText" text="Ts">
      <formula>NOT(ISERROR(SEARCH(("Ts"),(AV36))))</formula>
    </cfRule>
  </conditionalFormatting>
  <conditionalFormatting sqref="AV36">
    <cfRule type="containsText" dxfId="8" priority="330" operator="containsText" text="3">
      <formula>NOT(ISERROR(SEARCH(("3"),(AV36))))</formula>
    </cfRule>
  </conditionalFormatting>
  <conditionalFormatting sqref="AV36">
    <cfRule type="containsText" dxfId="9" priority="331" operator="containsText" text="2">
      <formula>NOT(ISERROR(SEARCH(("2"),(AV36))))</formula>
    </cfRule>
  </conditionalFormatting>
  <conditionalFormatting sqref="AV36">
    <cfRule type="containsText" dxfId="10" priority="332" operator="containsText" text="1">
      <formula>NOT(ISERROR(SEARCH(("1"),(AV36))))</formula>
    </cfRule>
  </conditionalFormatting>
  <conditionalFormatting sqref="AV10:AW10">
    <cfRule type="containsText" dxfId="5" priority="333" operator="containsText" text="AP">
      <formula>NOT(ISERROR(SEARCH(("AP"),(AV10))))</formula>
    </cfRule>
  </conditionalFormatting>
  <conditionalFormatting sqref="AV6:BI7 CA6:CM7 CW9:DX9 CW16:DX16 CZ18:DX19 CZ26:DM26 DA20:DX21 DI27:DM27 EA9:EB9 EA16:EB27">
    <cfRule type="containsText" dxfId="5" priority="334" operator="containsText" text="AP">
      <formula>NOT(ISERROR(SEARCH(("AP"),(AV6))))</formula>
    </cfRule>
  </conditionalFormatting>
  <conditionalFormatting sqref="AV30:BI30">
    <cfRule type="containsText" dxfId="5" priority="335" operator="containsText" text="AP">
      <formula>NOT(ISERROR(SEARCH(("AP"),(AV30))))</formula>
    </cfRule>
  </conditionalFormatting>
  <conditionalFormatting sqref="AX11">
    <cfRule type="containsText" dxfId="5" priority="336" operator="containsText" text="AP">
      <formula>NOT(ISERROR(SEARCH(("AP"),(AX11))))</formula>
    </cfRule>
  </conditionalFormatting>
  <conditionalFormatting sqref="BG16">
    <cfRule type="containsText" dxfId="6" priority="337" operator="containsText" text="Ts">
      <formula>NOT(ISERROR(SEARCH(("Ts"),(BG16))))</formula>
    </cfRule>
  </conditionalFormatting>
  <conditionalFormatting sqref="BG16">
    <cfRule type="containsText" dxfId="4" priority="338" operator="containsText" text="V A C A C">
      <formula>NOT(ISERROR(SEARCH(("V A C A C"),(BG16))))</formula>
    </cfRule>
  </conditionalFormatting>
  <conditionalFormatting sqref="BG16">
    <cfRule type="containsText" dxfId="4" priority="339" operator="containsText" text="VACAC">
      <formula>NOT(ISERROR(SEARCH(("VACAC"),(BG16))))</formula>
    </cfRule>
  </conditionalFormatting>
  <conditionalFormatting sqref="BG16">
    <cfRule type="containsText" dxfId="7" priority="340" operator="containsText" text="D">
      <formula>NOT(ISERROR(SEARCH(("D"),(BG16))))</formula>
    </cfRule>
  </conditionalFormatting>
  <conditionalFormatting sqref="BG16">
    <cfRule type="containsText" dxfId="8" priority="341" operator="containsText" text="3">
      <formula>NOT(ISERROR(SEARCH(("3"),(BG16))))</formula>
    </cfRule>
  </conditionalFormatting>
  <conditionalFormatting sqref="BG16">
    <cfRule type="containsText" dxfId="9" priority="342" operator="containsText" text="2">
      <formula>NOT(ISERROR(SEARCH(("2"),(BG16))))</formula>
    </cfRule>
  </conditionalFormatting>
  <conditionalFormatting sqref="BG16">
    <cfRule type="containsText" dxfId="10" priority="343" operator="containsText" text="1">
      <formula>NOT(ISERROR(SEARCH(("1"),(BG16))))</formula>
    </cfRule>
  </conditionalFormatting>
  <conditionalFormatting sqref="BG16">
    <cfRule type="containsText" dxfId="4" priority="344" operator="containsText" text="V A C A C">
      <formula>NOT(ISERROR(SEARCH(("V A C A C"),(BG16))))</formula>
    </cfRule>
  </conditionalFormatting>
  <conditionalFormatting sqref="BG16">
    <cfRule type="containsText" dxfId="4" priority="345" operator="containsText" text="VACAC">
      <formula>NOT(ISERROR(SEARCH(("VACAC"),(BG16))))</formula>
    </cfRule>
  </conditionalFormatting>
  <conditionalFormatting sqref="BG16">
    <cfRule type="containsText" dxfId="6" priority="346" operator="containsText" text="Ts">
      <formula>NOT(ISERROR(SEARCH(("Ts"),(BG16))))</formula>
    </cfRule>
  </conditionalFormatting>
  <conditionalFormatting sqref="BG16">
    <cfRule type="containsText" dxfId="7" priority="347" operator="containsText" text="D">
      <formula>NOT(ISERROR(SEARCH(("D"),(BG16))))</formula>
    </cfRule>
  </conditionalFormatting>
  <conditionalFormatting sqref="BG16">
    <cfRule type="containsText" dxfId="8" priority="348" operator="containsText" text="3">
      <formula>NOT(ISERROR(SEARCH(("3"),(BG16))))</formula>
    </cfRule>
  </conditionalFormatting>
  <conditionalFormatting sqref="BG16">
    <cfRule type="containsText" dxfId="9" priority="349" operator="containsText" text="2">
      <formula>NOT(ISERROR(SEARCH(("2"),(BG16))))</formula>
    </cfRule>
  </conditionalFormatting>
  <conditionalFormatting sqref="BG16">
    <cfRule type="containsText" dxfId="10" priority="350" operator="containsText" text="1">
      <formula>NOT(ISERROR(SEARCH(("1"),(BG16))))</formula>
    </cfRule>
  </conditionalFormatting>
  <conditionalFormatting sqref="BG14:BI14">
    <cfRule type="containsText" dxfId="6" priority="351" operator="containsText" text="Ts">
      <formula>NOT(ISERROR(SEARCH(("Ts"),(BG14))))</formula>
    </cfRule>
  </conditionalFormatting>
  <conditionalFormatting sqref="BG14:BI14">
    <cfRule type="containsText" dxfId="4" priority="352" operator="containsText" text="V A C A C">
      <formula>NOT(ISERROR(SEARCH(("V A C A C"),(BG14))))</formula>
    </cfRule>
  </conditionalFormatting>
  <conditionalFormatting sqref="BG14:BI14">
    <cfRule type="containsText" dxfId="4" priority="353" operator="containsText" text="VACAC">
      <formula>NOT(ISERROR(SEARCH(("VACAC"),(BG14))))</formula>
    </cfRule>
  </conditionalFormatting>
  <conditionalFormatting sqref="BG14:BI14">
    <cfRule type="containsText" dxfId="7" priority="354" operator="containsText" text="D">
      <formula>NOT(ISERROR(SEARCH(("D"),(BG14))))</formula>
    </cfRule>
  </conditionalFormatting>
  <conditionalFormatting sqref="BG14:BI14">
    <cfRule type="containsText" dxfId="8" priority="355" operator="containsText" text="3">
      <formula>NOT(ISERROR(SEARCH(("3"),(BG14))))</formula>
    </cfRule>
  </conditionalFormatting>
  <conditionalFormatting sqref="BG14:BI14">
    <cfRule type="containsText" dxfId="9" priority="356" operator="containsText" text="2">
      <formula>NOT(ISERROR(SEARCH(("2"),(BG14))))</formula>
    </cfRule>
  </conditionalFormatting>
  <conditionalFormatting sqref="BG14:BI14">
    <cfRule type="containsText" dxfId="10" priority="357" operator="containsText" text="1">
      <formula>NOT(ISERROR(SEARCH(("1"),(BG14))))</formula>
    </cfRule>
  </conditionalFormatting>
  <conditionalFormatting sqref="BJ4:BK4">
    <cfRule type="containsText" dxfId="7" priority="358" operator="containsText" text="D">
      <formula>NOT(ISERROR(SEARCH(("D"),(BJ4))))</formula>
    </cfRule>
  </conditionalFormatting>
  <conditionalFormatting sqref="BJ4:BK4">
    <cfRule type="containsText" dxfId="10" priority="359" operator="containsText" text="L">
      <formula>NOT(ISERROR(SEARCH(("L"),(BJ4))))</formula>
    </cfRule>
  </conditionalFormatting>
  <conditionalFormatting sqref="BL7 BL11:BO11">
    <cfRule type="containsText" dxfId="11" priority="360" operator="containsText" text="ex">
      <formula>NOT(ISERROR(SEARCH(("ex"),(BL7))))</formula>
    </cfRule>
  </conditionalFormatting>
  <conditionalFormatting sqref="BL7:BL22 BL23:BO27 BM8:BO22 BM35">
    <cfRule type="containsText" dxfId="5" priority="361" operator="containsText" text="AP">
      <formula>NOT(ISERROR(SEARCH(("AP"),(BL7))))</formula>
    </cfRule>
  </conditionalFormatting>
  <conditionalFormatting sqref="BL6:BO7">
    <cfRule type="containsText" dxfId="5" priority="362" operator="containsText" text="AP">
      <formula>NOT(ISERROR(SEARCH(("AP"),(BL6))))</formula>
    </cfRule>
  </conditionalFormatting>
  <conditionalFormatting sqref="AK10:BI10 BD30 BE12 BL10:BO10">
    <cfRule type="containsText" dxfId="6" priority="363" operator="containsText" text="Ts">
      <formula>NOT(ISERROR(SEARCH(("Ts"),(AK10))))</formula>
    </cfRule>
  </conditionalFormatting>
  <conditionalFormatting sqref="AK14:BI14 BL14:BO14">
    <cfRule type="containsText" dxfId="6" priority="364" operator="containsText" text="Ts">
      <formula>NOT(ISERROR(SEARCH(("Ts"),(AK14))))</formula>
    </cfRule>
  </conditionalFormatting>
  <conditionalFormatting sqref="AK16:BI16 BL16:BO16">
    <cfRule type="containsText" dxfId="6" priority="365" operator="containsText" text="Ts">
      <formula>NOT(ISERROR(SEARCH(("Ts"),(AK16))))</formula>
    </cfRule>
  </conditionalFormatting>
  <conditionalFormatting sqref="AK20:BI20 BL20:BO20">
    <cfRule type="containsText" dxfId="6" priority="366" operator="containsText" text="Ts">
      <formula>NOT(ISERROR(SEARCH(("Ts"),(AK20))))</formula>
    </cfRule>
  </conditionalFormatting>
  <conditionalFormatting sqref="AK24:BI24 BL24:BO24">
    <cfRule type="containsText" dxfId="6" priority="367" operator="containsText" text="Ts">
      <formula>NOT(ISERROR(SEARCH(("Ts"),(AK24))))</formula>
    </cfRule>
  </conditionalFormatting>
  <conditionalFormatting sqref="AK26:BI26 BL26:BO26">
    <cfRule type="containsText" dxfId="6" priority="368" operator="containsText" text="Ts">
      <formula>NOT(ISERROR(SEARCH(("Ts"),(AK26))))</formula>
    </cfRule>
  </conditionalFormatting>
  <conditionalFormatting sqref="AK28:BI28 BL28:BO28">
    <cfRule type="containsText" dxfId="7" priority="369" operator="containsText" text="D">
      <formula>NOT(ISERROR(SEARCH(("D"),(AK28))))</formula>
    </cfRule>
  </conditionalFormatting>
  <conditionalFormatting sqref="BL28:BO28">
    <cfRule type="containsText" dxfId="6" priority="370" operator="containsText" text="Ts">
      <formula>NOT(ISERROR(SEARCH(("Ts"),(BL28))))</formula>
    </cfRule>
  </conditionalFormatting>
  <conditionalFormatting sqref="AK34:BI35 BL28:BO35">
    <cfRule type="containsText" dxfId="5" priority="371" operator="containsText" text="AP">
      <formula>NOT(ISERROR(SEARCH(("AP"),(AK34))))</formula>
    </cfRule>
  </conditionalFormatting>
  <conditionalFormatting sqref="BL30:BO30">
    <cfRule type="containsText" dxfId="6" priority="372" operator="containsText" text="Ts">
      <formula>NOT(ISERROR(SEARCH(("Ts"),(BL30))))</formula>
    </cfRule>
  </conditionalFormatting>
  <conditionalFormatting sqref="BL30:BO30">
    <cfRule type="containsText" dxfId="7" priority="373" operator="containsText" text="D">
      <formula>NOT(ISERROR(SEARCH(("D"),(BL30))))</formula>
    </cfRule>
  </conditionalFormatting>
  <conditionalFormatting sqref="BL30:BO30">
    <cfRule type="containsText" dxfId="8" priority="374" operator="containsText" text="3">
      <formula>NOT(ISERROR(SEARCH(("3"),(BL30))))</formula>
    </cfRule>
  </conditionalFormatting>
  <conditionalFormatting sqref="BL30:BO30">
    <cfRule type="containsText" dxfId="9" priority="375" operator="containsText" text="2">
      <formula>NOT(ISERROR(SEARCH(("2"),(BL30))))</formula>
    </cfRule>
  </conditionalFormatting>
  <conditionalFormatting sqref="BL30:BO30">
    <cfRule type="containsText" dxfId="10" priority="376" operator="containsText" text="1">
      <formula>NOT(ISERROR(SEARCH(("1"),(BL30))))</formula>
    </cfRule>
  </conditionalFormatting>
  <conditionalFormatting sqref="AK32:BI32 BL32:BO32">
    <cfRule type="containsText" dxfId="7" priority="377" operator="containsText" text="D">
      <formula>NOT(ISERROR(SEARCH(("D"),(AK32))))</formula>
    </cfRule>
  </conditionalFormatting>
  <conditionalFormatting sqref="BL32:BO32">
    <cfRule type="containsText" dxfId="6" priority="378" operator="containsText" text="Ts">
      <formula>NOT(ISERROR(SEARCH(("Ts"),(BL32))))</formula>
    </cfRule>
  </conditionalFormatting>
  <conditionalFormatting sqref="AK18:BI18 BL18:BR18">
    <cfRule type="containsText" dxfId="6" priority="379" operator="containsText" text="Ts">
      <formula>NOT(ISERROR(SEARCH(("Ts"),(AK18))))</formula>
    </cfRule>
  </conditionalFormatting>
  <conditionalFormatting sqref="AK22:BI22 BL22:BR22">
    <cfRule type="containsText" dxfId="6" priority="380" operator="containsText" text="Ts">
      <formula>NOT(ISERROR(SEARCH(("Ts"),(AK22))))</formula>
    </cfRule>
  </conditionalFormatting>
  <conditionalFormatting sqref="BL22:BR22">
    <cfRule type="containsText" dxfId="4" priority="381" operator="containsText" text="V A C A C">
      <formula>NOT(ISERROR(SEARCH(("V A C A C"),(BL22))))</formula>
    </cfRule>
  </conditionalFormatting>
  <conditionalFormatting sqref="BL22:BR22">
    <cfRule type="containsText" dxfId="4" priority="382" operator="containsText" text="VACAC">
      <formula>NOT(ISERROR(SEARCH(("VACAC"),(BL22))))</formula>
    </cfRule>
  </conditionalFormatting>
  <conditionalFormatting sqref="BL32:BT32">
    <cfRule type="containsText" dxfId="4" priority="383" operator="containsText" text="V A C A C">
      <formula>NOT(ISERROR(SEARCH(("V A C A C"),(BL32))))</formula>
    </cfRule>
  </conditionalFormatting>
  <conditionalFormatting sqref="BL32:BT32">
    <cfRule type="containsText" dxfId="4" priority="384" operator="containsText" text="VACAC">
      <formula>NOT(ISERROR(SEARCH(("VACAC"),(BL32))))</formula>
    </cfRule>
  </conditionalFormatting>
  <conditionalFormatting sqref="BL34:BT34">
    <cfRule type="containsText" dxfId="4" priority="385" operator="containsText" text="V A C A C">
      <formula>NOT(ISERROR(SEARCH(("V A C A C"),(BL34))))</formula>
    </cfRule>
  </conditionalFormatting>
  <conditionalFormatting sqref="BL34:BT34">
    <cfRule type="containsText" dxfId="4" priority="386" operator="containsText" text="VACAC">
      <formula>NOT(ISERROR(SEARCH(("VACAC"),(BL34))))</formula>
    </cfRule>
  </conditionalFormatting>
  <conditionalFormatting sqref="BL6:BX6">
    <cfRule type="containsText" dxfId="4" priority="387" operator="containsText" text="V A C A C">
      <formula>NOT(ISERROR(SEARCH(("V A C A C"),(BL6))))</formula>
    </cfRule>
  </conditionalFormatting>
  <conditionalFormatting sqref="BL6:BX6">
    <cfRule type="containsText" dxfId="4" priority="388" operator="containsText" text="VACAC">
      <formula>NOT(ISERROR(SEARCH(("VACAC"),(BL6))))</formula>
    </cfRule>
  </conditionalFormatting>
  <conditionalFormatting sqref="BL6:BX6">
    <cfRule type="containsText" dxfId="6" priority="389" operator="containsText" text="Ts">
      <formula>NOT(ISERROR(SEARCH(("Ts"),(BL6))))</formula>
    </cfRule>
  </conditionalFormatting>
  <conditionalFormatting sqref="BL6:BX6">
    <cfRule type="containsText" dxfId="7" priority="390" operator="containsText" text="D">
      <formula>NOT(ISERROR(SEARCH(("D"),(BL6))))</formula>
    </cfRule>
  </conditionalFormatting>
  <conditionalFormatting sqref="BL6:BX6">
    <cfRule type="containsText" dxfId="8" priority="391" operator="containsText" text="3">
      <formula>NOT(ISERROR(SEARCH(("3"),(BL6))))</formula>
    </cfRule>
  </conditionalFormatting>
  <conditionalFormatting sqref="BL6:BX6">
    <cfRule type="containsText" dxfId="9" priority="392" operator="containsText" text="2">
      <formula>NOT(ISERROR(SEARCH(("2"),(BL6))))</formula>
    </cfRule>
  </conditionalFormatting>
  <conditionalFormatting sqref="BL6:BX6">
    <cfRule type="containsText" dxfId="10" priority="393" operator="containsText" text="1">
      <formula>NOT(ISERROR(SEARCH(("1"),(BL6))))</formula>
    </cfRule>
  </conditionalFormatting>
  <conditionalFormatting sqref="BL14:BZ14">
    <cfRule type="containsText" dxfId="4" priority="394" operator="containsText" text="V A C A C">
      <formula>NOT(ISERROR(SEARCH(("V A C A C"),(BL14))))</formula>
    </cfRule>
  </conditionalFormatting>
  <conditionalFormatting sqref="BL14:BZ14">
    <cfRule type="containsText" dxfId="4" priority="395" operator="containsText" text="VACAC">
      <formula>NOT(ISERROR(SEARCH(("VACAC"),(BL14))))</formula>
    </cfRule>
  </conditionalFormatting>
  <conditionalFormatting sqref="BL7:CN7 CP7:CS7">
    <cfRule type="containsText" dxfId="11" priority="396" operator="containsText" text="ex">
      <formula>NOT(ISERROR(SEARCH(("ex"),(BL7))))</formula>
    </cfRule>
  </conditionalFormatting>
  <conditionalFormatting sqref="BL8:CT8 BL26:CT26">
    <cfRule type="containsText" dxfId="4" priority="397" operator="containsText" text="V A C A C">
      <formula>NOT(ISERROR(SEARCH(("V A C A C"),(BL8))))</formula>
    </cfRule>
  </conditionalFormatting>
  <conditionalFormatting sqref="BL8:CT8 BL26:CT26">
    <cfRule type="containsText" dxfId="4" priority="398" operator="containsText" text="VACAC">
      <formula>NOT(ISERROR(SEARCH(("VACAC"),(BL8))))</formula>
    </cfRule>
  </conditionalFormatting>
  <conditionalFormatting sqref="BL8:CT8">
    <cfRule type="containsText" dxfId="6" priority="399" operator="containsText" text="Ts">
      <formula>NOT(ISERROR(SEARCH(("Ts"),(BL8))))</formula>
    </cfRule>
  </conditionalFormatting>
  <conditionalFormatting sqref="BL8:CT8">
    <cfRule type="containsText" dxfId="7" priority="400" operator="containsText" text="D">
      <formula>NOT(ISERROR(SEARCH(("D"),(BL8))))</formula>
    </cfRule>
  </conditionalFormatting>
  <conditionalFormatting sqref="BL8:CT8">
    <cfRule type="containsText" dxfId="8" priority="401" operator="containsText" text="3">
      <formula>NOT(ISERROR(SEARCH(("3"),(BL8))))</formula>
    </cfRule>
  </conditionalFormatting>
  <conditionalFormatting sqref="BL8:CT8">
    <cfRule type="containsText" dxfId="9" priority="402" operator="containsText" text="2">
      <formula>NOT(ISERROR(SEARCH(("2"),(BL8))))</formula>
    </cfRule>
  </conditionalFormatting>
  <conditionalFormatting sqref="BL8:CT8">
    <cfRule type="containsText" dxfId="10" priority="403" operator="containsText" text="1">
      <formula>NOT(ISERROR(SEARCH(("1"),(BL8))))</formula>
    </cfRule>
  </conditionalFormatting>
  <conditionalFormatting sqref="BL9:CT9">
    <cfRule type="containsText" dxfId="11" priority="404" operator="containsText" text="ex">
      <formula>NOT(ISERROR(SEARCH(("ex"),(BL9))))</formula>
    </cfRule>
  </conditionalFormatting>
  <conditionalFormatting sqref="BL10:CT10">
    <cfRule type="containsText" dxfId="4" priority="405" operator="containsText" text="V A C A C">
      <formula>NOT(ISERROR(SEARCH(("V A C A C"),(BL10))))</formula>
    </cfRule>
  </conditionalFormatting>
  <conditionalFormatting sqref="BL10:CT10">
    <cfRule type="containsText" dxfId="4" priority="406" operator="containsText" text="VACAC">
      <formula>NOT(ISERROR(SEARCH(("VACAC"),(BL10))))</formula>
    </cfRule>
  </conditionalFormatting>
  <conditionalFormatting sqref="BL12:CT12">
    <cfRule type="containsText" dxfId="4" priority="407" operator="containsText" text="V A C A C">
      <formula>NOT(ISERROR(SEARCH(("V A C A C"),(BL12))))</formula>
    </cfRule>
  </conditionalFormatting>
  <conditionalFormatting sqref="BL12:CT12">
    <cfRule type="containsText" dxfId="4" priority="408" operator="containsText" text="VACAC">
      <formula>NOT(ISERROR(SEARCH(("VACAC"),(BL12))))</formula>
    </cfRule>
  </conditionalFormatting>
  <conditionalFormatting sqref="BL13:CT13 BL29:CT29">
    <cfRule type="containsText" dxfId="11" priority="409" operator="containsText" text="ex">
      <formula>NOT(ISERROR(SEARCH(("ex"),(BL13))))</formula>
    </cfRule>
  </conditionalFormatting>
  <conditionalFormatting sqref="BL15:CT15">
    <cfRule type="containsText" dxfId="11" priority="410" operator="containsText" text="ex">
      <formula>NOT(ISERROR(SEARCH(("ex"),(BL15))))</formula>
    </cfRule>
  </conditionalFormatting>
  <conditionalFormatting sqref="BL16:CT16">
    <cfRule type="containsText" dxfId="4" priority="411" operator="containsText" text="V A C A C">
      <formula>NOT(ISERROR(SEARCH(("V A C A C"),(BL16))))</formula>
    </cfRule>
  </conditionalFormatting>
  <conditionalFormatting sqref="BL16:CT16">
    <cfRule type="containsText" dxfId="4" priority="412" operator="containsText" text="VACAC">
      <formula>NOT(ISERROR(SEARCH(("VACAC"),(BL16))))</formula>
    </cfRule>
  </conditionalFormatting>
  <conditionalFormatting sqref="BL17:CT17">
    <cfRule type="containsText" dxfId="11" priority="413" operator="containsText" text="ex">
      <formula>NOT(ISERROR(SEARCH(("ex"),(BL17))))</formula>
    </cfRule>
  </conditionalFormatting>
  <conditionalFormatting sqref="BL18:CT18">
    <cfRule type="containsText" dxfId="4" priority="414" operator="containsText" text="V A C A C">
      <formula>NOT(ISERROR(SEARCH(("V A C A C"),(BL18))))</formula>
    </cfRule>
  </conditionalFormatting>
  <conditionalFormatting sqref="BL18:CT18">
    <cfRule type="containsText" dxfId="4" priority="415" operator="containsText" text="VACAC">
      <formula>NOT(ISERROR(SEARCH(("VACAC"),(BL18))))</formula>
    </cfRule>
  </conditionalFormatting>
  <conditionalFormatting sqref="BL19:CT19">
    <cfRule type="containsText" dxfId="11" priority="416" operator="containsText" text="ex">
      <formula>NOT(ISERROR(SEARCH(("ex"),(BL19))))</formula>
    </cfRule>
  </conditionalFormatting>
  <conditionalFormatting sqref="BL20:CT20">
    <cfRule type="containsText" dxfId="4" priority="417" operator="containsText" text="V A C A C">
      <formula>NOT(ISERROR(SEARCH(("V A C A C"),(BL20))))</formula>
    </cfRule>
  </conditionalFormatting>
  <conditionalFormatting sqref="BL20:CT20">
    <cfRule type="containsText" dxfId="4" priority="418" operator="containsText" text="VACAC">
      <formula>NOT(ISERROR(SEARCH(("VACAC"),(BL20))))</formula>
    </cfRule>
  </conditionalFormatting>
  <conditionalFormatting sqref="BL21:CT21">
    <cfRule type="containsText" dxfId="11" priority="419" operator="containsText" text="ex">
      <formula>NOT(ISERROR(SEARCH(("ex"),(BL21))))</formula>
    </cfRule>
  </conditionalFormatting>
  <conditionalFormatting sqref="BL23:CT23">
    <cfRule type="containsText" dxfId="11" priority="420" operator="containsText" text="ex">
      <formula>NOT(ISERROR(SEARCH(("ex"),(BL23))))</formula>
    </cfRule>
  </conditionalFormatting>
  <conditionalFormatting sqref="BL24:CT24">
    <cfRule type="containsText" dxfId="4" priority="421" operator="containsText" text="V A C A C">
      <formula>NOT(ISERROR(SEARCH(("V A C A C"),(BL24))))</formula>
    </cfRule>
  </conditionalFormatting>
  <conditionalFormatting sqref="BL24:CT24">
    <cfRule type="containsText" dxfId="4" priority="422" operator="containsText" text="VACAC">
      <formula>NOT(ISERROR(SEARCH(("VACAC"),(BL24))))</formula>
    </cfRule>
  </conditionalFormatting>
  <conditionalFormatting sqref="BL25:CT25 CC33 CG35:CH35">
    <cfRule type="containsText" dxfId="11" priority="423" operator="containsText" text="ex">
      <formula>NOT(ISERROR(SEARCH(("ex"),(BL25))))</formula>
    </cfRule>
  </conditionalFormatting>
  <conditionalFormatting sqref="BL27:CT27">
    <cfRule type="containsText" dxfId="11" priority="424" operator="containsText" text="ex">
      <formula>NOT(ISERROR(SEARCH(("ex"),(BL27))))</formula>
    </cfRule>
  </conditionalFormatting>
  <conditionalFormatting sqref="BL28:CT28">
    <cfRule type="containsText" dxfId="4" priority="425" operator="containsText" text="V A C A C">
      <formula>NOT(ISERROR(SEARCH(("V A C A C"),(BL28))))</formula>
    </cfRule>
  </conditionalFormatting>
  <conditionalFormatting sqref="BL28:CT28">
    <cfRule type="containsText" dxfId="4" priority="426" operator="containsText" text="VACAC">
      <formula>NOT(ISERROR(SEARCH(("VACAC"),(BL28))))</formula>
    </cfRule>
  </conditionalFormatting>
  <conditionalFormatting sqref="BL30:CT30">
    <cfRule type="containsText" dxfId="4" priority="427" operator="containsText" text="V A C A C">
      <formula>NOT(ISERROR(SEARCH(("V A C A C"),(BL30))))</formula>
    </cfRule>
  </conditionalFormatting>
  <conditionalFormatting sqref="BL30:CT30">
    <cfRule type="containsText" dxfId="4" priority="428" operator="containsText" text="VACAC">
      <formula>NOT(ISERROR(SEARCH(("VACAC"),(BL30))))</formula>
    </cfRule>
  </conditionalFormatting>
  <conditionalFormatting sqref="BL31:CT31">
    <cfRule type="containsText" dxfId="11" priority="429" operator="containsText" text="ex">
      <formula>NOT(ISERROR(SEARCH(("ex"),(BL31))))</formula>
    </cfRule>
  </conditionalFormatting>
  <conditionalFormatting sqref="D36:BI36 BL36:CT36 GP35:HB35 HD35:HQ35 HT35:II35 IK35:IU35 IX35:JP35 JR35:KF35 KI35:KV35 KX35:LJ35 LM35:MC35 ME35:MN35 MQ35:NI35 NK35:NY35 OB35:OC35">
    <cfRule type="containsText" dxfId="5" priority="430" operator="containsText" text="AP">
      <formula>NOT(ISERROR(SEARCH(("AP"),(D36))))</formula>
    </cfRule>
  </conditionalFormatting>
  <conditionalFormatting sqref="BL36:CT36">
    <cfRule type="containsText" dxfId="10" priority="431" operator="containsText" text="L">
      <formula>NOT(ISERROR(SEARCH(("L"),(BL36))))</formula>
    </cfRule>
  </conditionalFormatting>
  <conditionalFormatting sqref="BM37">
    <cfRule type="containsText" dxfId="11" priority="432" operator="containsText" text="ex">
      <formula>NOT(ISERROR(SEARCH(("ex"),(BM37))))</formula>
    </cfRule>
  </conditionalFormatting>
  <conditionalFormatting sqref="BM37">
    <cfRule type="containsText" dxfId="5" priority="433" operator="containsText" text="AP">
      <formula>NOT(ISERROR(SEARCH(("AP"),(BM37))))</formula>
    </cfRule>
  </conditionalFormatting>
  <conditionalFormatting sqref="BP4">
    <cfRule type="containsText" dxfId="4" priority="434" operator="containsText" text="V A C A C">
      <formula>NOT(ISERROR(SEARCH(("V A C A C"),(BP4))))</formula>
    </cfRule>
  </conditionalFormatting>
  <conditionalFormatting sqref="BP4">
    <cfRule type="containsText" dxfId="4" priority="435" operator="containsText" text="VACAC">
      <formula>NOT(ISERROR(SEARCH(("VACAC"),(BP4))))</formula>
    </cfRule>
  </conditionalFormatting>
  <conditionalFormatting sqref="BP4">
    <cfRule type="containsText" dxfId="5" priority="436" operator="containsText" text="AP">
      <formula>NOT(ISERROR(SEARCH(("AP"),(BP4))))</formula>
    </cfRule>
  </conditionalFormatting>
  <conditionalFormatting sqref="BP4">
    <cfRule type="containsText" dxfId="6" priority="437" operator="containsText" text="Ts">
      <formula>NOT(ISERROR(SEARCH(("Ts"),(BP4))))</formula>
    </cfRule>
  </conditionalFormatting>
  <conditionalFormatting sqref="BP4">
    <cfRule type="containsText" dxfId="7" priority="438" operator="containsText" text="D">
      <formula>NOT(ISERROR(SEARCH(("D"),(BP4))))</formula>
    </cfRule>
  </conditionalFormatting>
  <conditionalFormatting sqref="BP4">
    <cfRule type="containsText" dxfId="8" priority="439" operator="containsText" text="3">
      <formula>NOT(ISERROR(SEARCH(("3"),(BP4))))</formula>
    </cfRule>
  </conditionalFormatting>
  <conditionalFormatting sqref="BP4">
    <cfRule type="containsText" dxfId="9" priority="440" operator="containsText" text="2">
      <formula>NOT(ISERROR(SEARCH(("2"),(BP4))))</formula>
    </cfRule>
  </conditionalFormatting>
  <conditionalFormatting sqref="BP4">
    <cfRule type="containsText" dxfId="10" priority="441" operator="containsText" text="1">
      <formula>NOT(ISERROR(SEARCH(("1"),(BP4))))</formula>
    </cfRule>
  </conditionalFormatting>
  <conditionalFormatting sqref="BP28">
    <cfRule type="containsText" dxfId="5" priority="442" operator="containsText" text="AP">
      <formula>NOT(ISERROR(SEARCH(("AP"),(BP28))))</formula>
    </cfRule>
  </conditionalFormatting>
  <conditionalFormatting sqref="BP28">
    <cfRule type="containsText" dxfId="6" priority="443" operator="containsText" text="Ts">
      <formula>NOT(ISERROR(SEARCH(("Ts"),(BP28))))</formula>
    </cfRule>
  </conditionalFormatting>
  <conditionalFormatting sqref="BP28">
    <cfRule type="containsText" dxfId="7" priority="444" operator="containsText" text="D">
      <formula>NOT(ISERROR(SEARCH(("D"),(BP28))))</formula>
    </cfRule>
  </conditionalFormatting>
  <conditionalFormatting sqref="BP28">
    <cfRule type="containsText" dxfId="8" priority="445" operator="containsText" text="3">
      <formula>NOT(ISERROR(SEARCH(("3"),(BP28))))</formula>
    </cfRule>
  </conditionalFormatting>
  <conditionalFormatting sqref="BP28">
    <cfRule type="containsText" dxfId="9" priority="446" operator="containsText" text="2">
      <formula>NOT(ISERROR(SEARCH(("2"),(BP28))))</formula>
    </cfRule>
  </conditionalFormatting>
  <conditionalFormatting sqref="BP28">
    <cfRule type="containsText" dxfId="10" priority="447" operator="containsText" text="1">
      <formula>NOT(ISERROR(SEARCH(("1"),(BP28))))</formula>
    </cfRule>
  </conditionalFormatting>
  <conditionalFormatting sqref="BP18:BR18">
    <cfRule type="containsText" dxfId="7" priority="448" operator="containsText" text="D">
      <formula>NOT(ISERROR(SEARCH(("D"),(BP18))))</formula>
    </cfRule>
  </conditionalFormatting>
  <conditionalFormatting sqref="BP18:BR18">
    <cfRule type="containsText" dxfId="8" priority="449" operator="containsText" text="3">
      <formula>NOT(ISERROR(SEARCH(("3"),(BP18))))</formula>
    </cfRule>
  </conditionalFormatting>
  <conditionalFormatting sqref="BP18:BR18">
    <cfRule type="containsText" dxfId="9" priority="450" operator="containsText" text="2">
      <formula>NOT(ISERROR(SEARCH(("2"),(BP18))))</formula>
    </cfRule>
  </conditionalFormatting>
  <conditionalFormatting sqref="BP18:BR18">
    <cfRule type="containsText" dxfId="10" priority="451" operator="containsText" text="1">
      <formula>NOT(ISERROR(SEARCH(("1"),(BP18))))</formula>
    </cfRule>
  </conditionalFormatting>
  <conditionalFormatting sqref="BP22:BR22">
    <cfRule type="containsText" dxfId="7" priority="452" operator="containsText" text="D">
      <formula>NOT(ISERROR(SEARCH(("D"),(BP22))))</formula>
    </cfRule>
  </conditionalFormatting>
  <conditionalFormatting sqref="BP22:BR22">
    <cfRule type="containsText" dxfId="8" priority="453" operator="containsText" text="3">
      <formula>NOT(ISERROR(SEARCH(("3"),(BP22))))</formula>
    </cfRule>
  </conditionalFormatting>
  <conditionalFormatting sqref="BP22:BR22">
    <cfRule type="containsText" dxfId="9" priority="454" operator="containsText" text="2">
      <formula>NOT(ISERROR(SEARCH(("2"),(BP22))))</formula>
    </cfRule>
  </conditionalFormatting>
  <conditionalFormatting sqref="BP22:BR22">
    <cfRule type="containsText" dxfId="10" priority="455" operator="containsText" text="1">
      <formula>NOT(ISERROR(SEARCH(("1"),(BP22))))</formula>
    </cfRule>
  </conditionalFormatting>
  <conditionalFormatting sqref="BP22:BR22">
    <cfRule type="containsText" dxfId="6" priority="456" operator="containsText" text="Ts">
      <formula>NOT(ISERROR(SEARCH(("Ts"),(BP22))))</formula>
    </cfRule>
  </conditionalFormatting>
  <conditionalFormatting sqref="BP22:BR22">
    <cfRule type="containsText" dxfId="7" priority="457" operator="containsText" text="D">
      <formula>NOT(ISERROR(SEARCH(("D"),(BP22))))</formula>
    </cfRule>
  </conditionalFormatting>
  <conditionalFormatting sqref="BP22:BR22">
    <cfRule type="containsText" dxfId="8" priority="458" operator="containsText" text="3">
      <formula>NOT(ISERROR(SEARCH(("3"),(BP22))))</formula>
    </cfRule>
  </conditionalFormatting>
  <conditionalFormatting sqref="BP22:BR22">
    <cfRule type="containsText" dxfId="9" priority="459" operator="containsText" text="2">
      <formula>NOT(ISERROR(SEARCH(("2"),(BP22))))</formula>
    </cfRule>
  </conditionalFormatting>
  <conditionalFormatting sqref="BP22:BR22">
    <cfRule type="containsText" dxfId="10" priority="460" operator="containsText" text="1">
      <formula>NOT(ISERROR(SEARCH(("1"),(BP22))))</formula>
    </cfRule>
  </conditionalFormatting>
  <conditionalFormatting sqref="BP32:BT32">
    <cfRule type="containsText" dxfId="5" priority="461" operator="containsText" text="AP">
      <formula>NOT(ISERROR(SEARCH(("AP"),(BP32))))</formula>
    </cfRule>
  </conditionalFormatting>
  <conditionalFormatting sqref="BP32:BT32">
    <cfRule type="containsText" dxfId="4" priority="462" operator="containsText" text="V A C A C">
      <formula>NOT(ISERROR(SEARCH(("V A C A C"),(BP32))))</formula>
    </cfRule>
  </conditionalFormatting>
  <conditionalFormatting sqref="BP32:BT32">
    <cfRule type="containsText" dxfId="4" priority="463" operator="containsText" text="VACAC">
      <formula>NOT(ISERROR(SEARCH(("VACAC"),(BP32))))</formula>
    </cfRule>
  </conditionalFormatting>
  <conditionalFormatting sqref="BP32:BT32">
    <cfRule type="containsText" dxfId="6" priority="464" operator="containsText" text="Ts">
      <formula>NOT(ISERROR(SEARCH(("Ts"),(BP32))))</formula>
    </cfRule>
  </conditionalFormatting>
  <conditionalFormatting sqref="BP32:BT32">
    <cfRule type="containsText" dxfId="7" priority="465" operator="containsText" text="D">
      <formula>NOT(ISERROR(SEARCH(("D"),(BP32))))</formula>
    </cfRule>
  </conditionalFormatting>
  <conditionalFormatting sqref="BP32:BT32">
    <cfRule type="containsText" dxfId="8" priority="466" operator="containsText" text="3">
      <formula>NOT(ISERROR(SEARCH(("3"),(BP32))))</formula>
    </cfRule>
  </conditionalFormatting>
  <conditionalFormatting sqref="BP32:BT32">
    <cfRule type="containsText" dxfId="9" priority="467" operator="containsText" text="2">
      <formula>NOT(ISERROR(SEARCH(("2"),(BP32))))</formula>
    </cfRule>
  </conditionalFormatting>
  <conditionalFormatting sqref="BP32:BT32">
    <cfRule type="containsText" dxfId="10" priority="468" operator="containsText" text="1">
      <formula>NOT(ISERROR(SEARCH(("1"),(BP32))))</formula>
    </cfRule>
  </conditionalFormatting>
  <conditionalFormatting sqref="BP32:BT32">
    <cfRule type="containsText" dxfId="6" priority="469" operator="containsText" text="Ts">
      <formula>NOT(ISERROR(SEARCH(("Ts"),(BP32))))</formula>
    </cfRule>
  </conditionalFormatting>
  <conditionalFormatting sqref="BP32:BT32">
    <cfRule type="containsText" dxfId="7" priority="470" operator="containsText" text="D">
      <formula>NOT(ISERROR(SEARCH(("D"),(BP32))))</formula>
    </cfRule>
  </conditionalFormatting>
  <conditionalFormatting sqref="BP32:BT32">
    <cfRule type="containsText" dxfId="8" priority="471" operator="containsText" text="3">
      <formula>NOT(ISERROR(SEARCH(("3"),(BP32))))</formula>
    </cfRule>
  </conditionalFormatting>
  <conditionalFormatting sqref="BP32:BT32">
    <cfRule type="containsText" dxfId="9" priority="472" operator="containsText" text="2">
      <formula>NOT(ISERROR(SEARCH(("2"),(BP32))))</formula>
    </cfRule>
  </conditionalFormatting>
  <conditionalFormatting sqref="BP32:BT32">
    <cfRule type="containsText" dxfId="10" priority="473" operator="containsText" text="1">
      <formula>NOT(ISERROR(SEARCH(("1"),(BP32))))</formula>
    </cfRule>
  </conditionalFormatting>
  <conditionalFormatting sqref="BP33:BT33 CG35:CH35">
    <cfRule type="containsText" dxfId="5" priority="474" operator="containsText" text="AP">
      <formula>NOT(ISERROR(SEARCH(("AP"),(BP33))))</formula>
    </cfRule>
  </conditionalFormatting>
  <conditionalFormatting sqref="BP34:BT34">
    <cfRule type="containsText" dxfId="5" priority="475" operator="containsText" text="AP">
      <formula>NOT(ISERROR(SEARCH(("AP"),(BP34))))</formula>
    </cfRule>
  </conditionalFormatting>
  <conditionalFormatting sqref="BP34:BT34">
    <cfRule type="containsText" dxfId="4" priority="476" operator="containsText" text="V A C A C">
      <formula>NOT(ISERROR(SEARCH(("V A C A C"),(BP34))))</formula>
    </cfRule>
  </conditionalFormatting>
  <conditionalFormatting sqref="BP34:BT34">
    <cfRule type="containsText" dxfId="4" priority="477" operator="containsText" text="VACAC">
      <formula>NOT(ISERROR(SEARCH(("VACAC"),(BP34))))</formula>
    </cfRule>
  </conditionalFormatting>
  <conditionalFormatting sqref="BP34:BT34">
    <cfRule type="containsText" dxfId="6" priority="478" operator="containsText" text="Ts">
      <formula>NOT(ISERROR(SEARCH(("Ts"),(BP34))))</formula>
    </cfRule>
  </conditionalFormatting>
  <conditionalFormatting sqref="BP34:BT34">
    <cfRule type="containsText" dxfId="7" priority="479" operator="containsText" text="D">
      <formula>NOT(ISERROR(SEARCH(("D"),(BP34))))</formula>
    </cfRule>
  </conditionalFormatting>
  <conditionalFormatting sqref="BP34:BT34">
    <cfRule type="containsText" dxfId="8" priority="480" operator="containsText" text="3">
      <formula>NOT(ISERROR(SEARCH(("3"),(BP34))))</formula>
    </cfRule>
  </conditionalFormatting>
  <conditionalFormatting sqref="BP34:BT34">
    <cfRule type="containsText" dxfId="9" priority="481" operator="containsText" text="2">
      <formula>NOT(ISERROR(SEARCH(("2"),(BP34))))</formula>
    </cfRule>
  </conditionalFormatting>
  <conditionalFormatting sqref="BP34:BT34">
    <cfRule type="containsText" dxfId="10" priority="482" operator="containsText" text="1">
      <formula>NOT(ISERROR(SEARCH(("1"),(BP34))))</formula>
    </cfRule>
  </conditionalFormatting>
  <conditionalFormatting sqref="BP34:BT34">
    <cfRule type="containsText" dxfId="6" priority="483" operator="containsText" text="Ts">
      <formula>NOT(ISERROR(SEARCH(("Ts"),(BP34))))</formula>
    </cfRule>
  </conditionalFormatting>
  <conditionalFormatting sqref="BP34:BT34">
    <cfRule type="containsText" dxfId="7" priority="484" operator="containsText" text="D">
      <formula>NOT(ISERROR(SEARCH(("D"),(BP34))))</formula>
    </cfRule>
  </conditionalFormatting>
  <conditionalFormatting sqref="BP34:BT34">
    <cfRule type="containsText" dxfId="8" priority="485" operator="containsText" text="3">
      <formula>NOT(ISERROR(SEARCH(("3"),(BP34))))</formula>
    </cfRule>
  </conditionalFormatting>
  <conditionalFormatting sqref="BP34:BT34">
    <cfRule type="containsText" dxfId="9" priority="486" operator="containsText" text="2">
      <formula>NOT(ISERROR(SEARCH(("2"),(BP34))))</formula>
    </cfRule>
  </conditionalFormatting>
  <conditionalFormatting sqref="BP34:BT34">
    <cfRule type="containsText" dxfId="10" priority="487" operator="containsText" text="1">
      <formula>NOT(ISERROR(SEARCH(("1"),(BP34))))</formula>
    </cfRule>
  </conditionalFormatting>
  <conditionalFormatting sqref="BP6:BZ14">
    <cfRule type="containsText" dxfId="5" priority="488" operator="containsText" text="AP">
      <formula>NOT(ISERROR(SEARCH(("AP"),(BP6))))</formula>
    </cfRule>
  </conditionalFormatting>
  <conditionalFormatting sqref="BP14:BZ14">
    <cfRule type="containsText" dxfId="7" priority="489" operator="containsText" text="D">
      <formula>NOT(ISERROR(SEARCH(("D"),(BP14))))</formula>
    </cfRule>
  </conditionalFormatting>
  <conditionalFormatting sqref="BP14:BZ14">
    <cfRule type="containsText" dxfId="8" priority="490" operator="containsText" text="3">
      <formula>NOT(ISERROR(SEARCH(("3"),(BP14))))</formula>
    </cfRule>
  </conditionalFormatting>
  <conditionalFormatting sqref="BP14:BZ14">
    <cfRule type="containsText" dxfId="9" priority="491" operator="containsText" text="2">
      <formula>NOT(ISERROR(SEARCH(("2"),(BP14))))</formula>
    </cfRule>
  </conditionalFormatting>
  <conditionalFormatting sqref="BP14:BZ14">
    <cfRule type="containsText" dxfId="10" priority="492" operator="containsText" text="1">
      <formula>NOT(ISERROR(SEARCH(("1"),(BP14))))</formula>
    </cfRule>
  </conditionalFormatting>
  <conditionalFormatting sqref="BP4:CL4">
    <cfRule type="containsText" dxfId="7" priority="493" operator="containsText" text="D">
      <formula>NOT(ISERROR(SEARCH(("D"),(BP4))))</formula>
    </cfRule>
  </conditionalFormatting>
  <conditionalFormatting sqref="BP4:CL4">
    <cfRule type="containsText" dxfId="10" priority="494" operator="containsText" text="L">
      <formula>NOT(ISERROR(SEARCH(("L"),(BP4))))</formula>
    </cfRule>
  </conditionalFormatting>
  <conditionalFormatting sqref="BP10:CT10">
    <cfRule type="containsText" dxfId="6" priority="495" operator="containsText" text="Ts">
      <formula>NOT(ISERROR(SEARCH(("Ts"),(BP10))))</formula>
    </cfRule>
  </conditionalFormatting>
  <conditionalFormatting sqref="BP10:CT10">
    <cfRule type="containsText" dxfId="7" priority="496" operator="containsText" text="D">
      <formula>NOT(ISERROR(SEARCH(("D"),(BP10))))</formula>
    </cfRule>
  </conditionalFormatting>
  <conditionalFormatting sqref="BP10:CT10">
    <cfRule type="containsText" dxfId="8" priority="497" operator="containsText" text="3">
      <formula>NOT(ISERROR(SEARCH(("3"),(BP10))))</formula>
    </cfRule>
  </conditionalFormatting>
  <conditionalFormatting sqref="BP10:CT10">
    <cfRule type="containsText" dxfId="9" priority="498" operator="containsText" text="2">
      <formula>NOT(ISERROR(SEARCH(("2"),(BP10))))</formula>
    </cfRule>
  </conditionalFormatting>
  <conditionalFormatting sqref="BP10:CT10">
    <cfRule type="containsText" dxfId="10" priority="499" operator="containsText" text="1">
      <formula>NOT(ISERROR(SEARCH(("1"),(BP10))))</formula>
    </cfRule>
  </conditionalFormatting>
  <conditionalFormatting sqref="BP11:CT11">
    <cfRule type="containsText" dxfId="11" priority="500" operator="containsText" text="ex">
      <formula>NOT(ISERROR(SEARCH(("ex"),(BP11))))</formula>
    </cfRule>
  </conditionalFormatting>
  <conditionalFormatting sqref="BP12:CT12">
    <cfRule type="containsText" dxfId="6" priority="501" operator="containsText" text="Ts">
      <formula>NOT(ISERROR(SEARCH(("Ts"),(BP12))))</formula>
    </cfRule>
  </conditionalFormatting>
  <conditionalFormatting sqref="BP12:CT12">
    <cfRule type="containsText" dxfId="7" priority="502" operator="containsText" text="D">
      <formula>NOT(ISERROR(SEARCH(("D"),(BP12))))</formula>
    </cfRule>
  </conditionalFormatting>
  <conditionalFormatting sqref="BP12:CT12">
    <cfRule type="containsText" dxfId="8" priority="503" operator="containsText" text="3">
      <formula>NOT(ISERROR(SEARCH(("3"),(BP12))))</formula>
    </cfRule>
  </conditionalFormatting>
  <conditionalFormatting sqref="BP12:CT12">
    <cfRule type="containsText" dxfId="9" priority="504" operator="containsText" text="2">
      <formula>NOT(ISERROR(SEARCH(("2"),(BP12))))</formula>
    </cfRule>
  </conditionalFormatting>
  <conditionalFormatting sqref="BP12:CT12">
    <cfRule type="containsText" dxfId="10" priority="505" operator="containsText" text="1">
      <formula>NOT(ISERROR(SEARCH(("1"),(BP12))))</formula>
    </cfRule>
  </conditionalFormatting>
  <conditionalFormatting sqref="BP14:CT14">
    <cfRule type="containsText" dxfId="6" priority="506" operator="containsText" text="Ts">
      <formula>NOT(ISERROR(SEARCH(("Ts"),(BP14))))</formula>
    </cfRule>
  </conditionalFormatting>
  <conditionalFormatting sqref="BP15:CT27 CC33 CG35:CH35">
    <cfRule type="containsText" dxfId="5" priority="507" operator="containsText" text="AP">
      <formula>NOT(ISERROR(SEARCH(("AP"),(BP15))))</formula>
    </cfRule>
  </conditionalFormatting>
  <conditionalFormatting sqref="BP16:CT16">
    <cfRule type="containsText" dxfId="6" priority="508" operator="containsText" text="Ts">
      <formula>NOT(ISERROR(SEARCH(("Ts"),(BP16))))</formula>
    </cfRule>
  </conditionalFormatting>
  <conditionalFormatting sqref="BP16:CT16">
    <cfRule type="containsText" dxfId="7" priority="509" operator="containsText" text="D">
      <formula>NOT(ISERROR(SEARCH(("D"),(BP16))))</formula>
    </cfRule>
  </conditionalFormatting>
  <conditionalFormatting sqref="BP16:CT16">
    <cfRule type="containsText" dxfId="8" priority="510" operator="containsText" text="3">
      <formula>NOT(ISERROR(SEARCH(("3"),(BP16))))</formula>
    </cfRule>
  </conditionalFormatting>
  <conditionalFormatting sqref="BP16:CT16">
    <cfRule type="containsText" dxfId="9" priority="511" operator="containsText" text="2">
      <formula>NOT(ISERROR(SEARCH(("2"),(BP16))))</formula>
    </cfRule>
  </conditionalFormatting>
  <conditionalFormatting sqref="BP16:CT16">
    <cfRule type="containsText" dxfId="10" priority="512" operator="containsText" text="1">
      <formula>NOT(ISERROR(SEARCH(("1"),(BP16))))</formula>
    </cfRule>
  </conditionalFormatting>
  <conditionalFormatting sqref="BP18:CT18">
    <cfRule type="containsText" dxfId="6" priority="513" operator="containsText" text="Ts">
      <formula>NOT(ISERROR(SEARCH(("Ts"),(BP18))))</formula>
    </cfRule>
  </conditionalFormatting>
  <conditionalFormatting sqref="BP18:CT18">
    <cfRule type="containsText" dxfId="7" priority="514" operator="containsText" text="D">
      <formula>NOT(ISERROR(SEARCH(("D"),(BP18))))</formula>
    </cfRule>
  </conditionalFormatting>
  <conditionalFormatting sqref="BP18:CT18">
    <cfRule type="containsText" dxfId="8" priority="515" operator="containsText" text="3">
      <formula>NOT(ISERROR(SEARCH(("3"),(BP18))))</formula>
    </cfRule>
  </conditionalFormatting>
  <conditionalFormatting sqref="BP18:CT18">
    <cfRule type="containsText" dxfId="9" priority="516" operator="containsText" text="2">
      <formula>NOT(ISERROR(SEARCH(("2"),(BP18))))</formula>
    </cfRule>
  </conditionalFormatting>
  <conditionalFormatting sqref="BP18:CT18">
    <cfRule type="containsText" dxfId="10" priority="517" operator="containsText" text="1">
      <formula>NOT(ISERROR(SEARCH(("1"),(BP18))))</formula>
    </cfRule>
  </conditionalFormatting>
  <conditionalFormatting sqref="BP20:CT20">
    <cfRule type="containsText" dxfId="6" priority="518" operator="containsText" text="Ts">
      <formula>NOT(ISERROR(SEARCH(("Ts"),(BP20))))</formula>
    </cfRule>
  </conditionalFormatting>
  <conditionalFormatting sqref="BP20:CT20">
    <cfRule type="containsText" dxfId="7" priority="519" operator="containsText" text="D">
      <formula>NOT(ISERROR(SEARCH(("D"),(BP20))))</formula>
    </cfRule>
  </conditionalFormatting>
  <conditionalFormatting sqref="BP20:CT20">
    <cfRule type="containsText" dxfId="8" priority="520" operator="containsText" text="3">
      <formula>NOT(ISERROR(SEARCH(("3"),(BP20))))</formula>
    </cfRule>
  </conditionalFormatting>
  <conditionalFormatting sqref="BP20:CT20">
    <cfRule type="containsText" dxfId="9" priority="521" operator="containsText" text="2">
      <formula>NOT(ISERROR(SEARCH(("2"),(BP20))))</formula>
    </cfRule>
  </conditionalFormatting>
  <conditionalFormatting sqref="BP20:CT20">
    <cfRule type="containsText" dxfId="10" priority="522" operator="containsText" text="1">
      <formula>NOT(ISERROR(SEARCH(("1"),(BP20))))</formula>
    </cfRule>
  </conditionalFormatting>
  <conditionalFormatting sqref="BP22:CT22">
    <cfRule type="containsText" dxfId="4" priority="523" operator="containsText" text="V A C A C">
      <formula>NOT(ISERROR(SEARCH(("V A C A C"),(BP22))))</formula>
    </cfRule>
  </conditionalFormatting>
  <conditionalFormatting sqref="BP22:CT22">
    <cfRule type="containsText" dxfId="4" priority="524" operator="containsText" text="VACAC">
      <formula>NOT(ISERROR(SEARCH(("VACAC"),(BP22))))</formula>
    </cfRule>
  </conditionalFormatting>
  <conditionalFormatting sqref="BP22:CT22">
    <cfRule type="containsText" dxfId="6" priority="525" operator="containsText" text="Ts">
      <formula>NOT(ISERROR(SEARCH(("Ts"),(BP22))))</formula>
    </cfRule>
  </conditionalFormatting>
  <conditionalFormatting sqref="BP22:CT22">
    <cfRule type="containsText" dxfId="7" priority="526" operator="containsText" text="D">
      <formula>NOT(ISERROR(SEARCH(("D"),(BP22))))</formula>
    </cfRule>
  </conditionalFormatting>
  <conditionalFormatting sqref="BP22:CT22">
    <cfRule type="containsText" dxfId="8" priority="527" operator="containsText" text="3">
      <formula>NOT(ISERROR(SEARCH(("3"),(BP22))))</formula>
    </cfRule>
  </conditionalFormatting>
  <conditionalFormatting sqref="BP22:CT22">
    <cfRule type="containsText" dxfId="9" priority="528" operator="containsText" text="2">
      <formula>NOT(ISERROR(SEARCH(("2"),(BP22))))</formula>
    </cfRule>
  </conditionalFormatting>
  <conditionalFormatting sqref="BP22:CT22">
    <cfRule type="containsText" dxfId="10" priority="529" operator="containsText" text="1">
      <formula>NOT(ISERROR(SEARCH(("1"),(BP22))))</formula>
    </cfRule>
  </conditionalFormatting>
  <conditionalFormatting sqref="BP24:CT24">
    <cfRule type="containsText" dxfId="6" priority="530" operator="containsText" text="Ts">
      <formula>NOT(ISERROR(SEARCH(("Ts"),(BP24))))</formula>
    </cfRule>
  </conditionalFormatting>
  <conditionalFormatting sqref="BP24:CT24">
    <cfRule type="containsText" dxfId="7" priority="531" operator="containsText" text="D">
      <formula>NOT(ISERROR(SEARCH(("D"),(BP24))))</formula>
    </cfRule>
  </conditionalFormatting>
  <conditionalFormatting sqref="BP24:CT24">
    <cfRule type="containsText" dxfId="8" priority="532" operator="containsText" text="3">
      <formula>NOT(ISERROR(SEARCH(("3"),(BP24))))</formula>
    </cfRule>
  </conditionalFormatting>
  <conditionalFormatting sqref="BP24:CT24">
    <cfRule type="containsText" dxfId="9" priority="533" operator="containsText" text="2">
      <formula>NOT(ISERROR(SEARCH(("2"),(BP24))))</formula>
    </cfRule>
  </conditionalFormatting>
  <conditionalFormatting sqref="BP24:CT24">
    <cfRule type="containsText" dxfId="10" priority="534" operator="containsText" text="1">
      <formula>NOT(ISERROR(SEARCH(("1"),(BP24))))</formula>
    </cfRule>
  </conditionalFormatting>
  <conditionalFormatting sqref="BP26:CT26">
    <cfRule type="containsText" dxfId="6" priority="535" operator="containsText" text="Ts">
      <formula>NOT(ISERROR(SEARCH(("Ts"),(BP26))))</formula>
    </cfRule>
  </conditionalFormatting>
  <conditionalFormatting sqref="BP26:CT26">
    <cfRule type="containsText" dxfId="7" priority="536" operator="containsText" text="D">
      <formula>NOT(ISERROR(SEARCH(("D"),(BP26))))</formula>
    </cfRule>
  </conditionalFormatting>
  <conditionalFormatting sqref="BP26:CT26">
    <cfRule type="containsText" dxfId="8" priority="537" operator="containsText" text="3">
      <formula>NOT(ISERROR(SEARCH(("3"),(BP26))))</formula>
    </cfRule>
  </conditionalFormatting>
  <conditionalFormatting sqref="BP26:CT26">
    <cfRule type="containsText" dxfId="9" priority="538" operator="containsText" text="2">
      <formula>NOT(ISERROR(SEARCH(("2"),(BP26))))</formula>
    </cfRule>
  </conditionalFormatting>
  <conditionalFormatting sqref="BP26:CT26">
    <cfRule type="containsText" dxfId="10" priority="539" operator="containsText" text="1">
      <formula>NOT(ISERROR(SEARCH(("1"),(BP26))))</formula>
    </cfRule>
  </conditionalFormatting>
  <conditionalFormatting sqref="BP30:CT30">
    <cfRule type="containsText" dxfId="6" priority="540" operator="containsText" text="Ts">
      <formula>NOT(ISERROR(SEARCH(("Ts"),(BP30))))</formula>
    </cfRule>
  </conditionalFormatting>
  <conditionalFormatting sqref="BP30:CT30">
    <cfRule type="containsText" dxfId="7" priority="541" operator="containsText" text="D">
      <formula>NOT(ISERROR(SEARCH(("D"),(BP30))))</formula>
    </cfRule>
  </conditionalFormatting>
  <conditionalFormatting sqref="BP30:CT30">
    <cfRule type="containsText" dxfId="8" priority="542" operator="containsText" text="3">
      <formula>NOT(ISERROR(SEARCH(("3"),(BP30))))</formula>
    </cfRule>
  </conditionalFormatting>
  <conditionalFormatting sqref="BP30:CT30">
    <cfRule type="containsText" dxfId="9" priority="543" operator="containsText" text="2">
      <formula>NOT(ISERROR(SEARCH(("2"),(BP30))))</formula>
    </cfRule>
  </conditionalFormatting>
  <conditionalFormatting sqref="BP30:CT30">
    <cfRule type="containsText" dxfId="10" priority="544" operator="containsText" text="1">
      <formula>NOT(ISERROR(SEARCH(("1"),(BP30))))</formula>
    </cfRule>
  </conditionalFormatting>
  <conditionalFormatting sqref="BP30:CT31">
    <cfRule type="containsText" dxfId="5" priority="545" operator="containsText" text="AP">
      <formula>NOT(ISERROR(SEARCH(("AP"),(BP30))))</formula>
    </cfRule>
  </conditionalFormatting>
  <conditionalFormatting sqref="BP32:CT32">
    <cfRule type="containsText" dxfId="4" priority="546" operator="containsText" text="V A C A C">
      <formula>NOT(ISERROR(SEARCH(("V A C A C"),(BP32))))</formula>
    </cfRule>
  </conditionalFormatting>
  <conditionalFormatting sqref="BP32:CT32">
    <cfRule type="containsText" dxfId="4" priority="547" operator="containsText" text="VACAC">
      <formula>NOT(ISERROR(SEARCH(("VACAC"),(BP32))))</formula>
    </cfRule>
  </conditionalFormatting>
  <conditionalFormatting sqref="BP32:CT32">
    <cfRule type="containsText" dxfId="6" priority="548" operator="containsText" text="Ts">
      <formula>NOT(ISERROR(SEARCH(("Ts"),(BP32))))</formula>
    </cfRule>
  </conditionalFormatting>
  <conditionalFormatting sqref="BP32:CT32">
    <cfRule type="containsText" dxfId="7" priority="549" operator="containsText" text="D">
      <formula>NOT(ISERROR(SEARCH(("D"),(BP32))))</formula>
    </cfRule>
  </conditionalFormatting>
  <conditionalFormatting sqref="BP32:CT32">
    <cfRule type="containsText" dxfId="8" priority="550" operator="containsText" text="3">
      <formula>NOT(ISERROR(SEARCH(("3"),(BP32))))</formula>
    </cfRule>
  </conditionalFormatting>
  <conditionalFormatting sqref="BP32:CT32">
    <cfRule type="containsText" dxfId="9" priority="551" operator="containsText" text="2">
      <formula>NOT(ISERROR(SEARCH(("2"),(BP32))))</formula>
    </cfRule>
  </conditionalFormatting>
  <conditionalFormatting sqref="BP32:CT32">
    <cfRule type="containsText" dxfId="10" priority="552" operator="containsText" text="1">
      <formula>NOT(ISERROR(SEARCH(("1"),(BP32))))</formula>
    </cfRule>
  </conditionalFormatting>
  <conditionalFormatting sqref="BP33:CT33 BP35:CT35 CG37:CH37">
    <cfRule type="containsText" dxfId="11" priority="553" operator="containsText" text="ex">
      <formula>NOT(ISERROR(SEARCH(("ex"),(BP33))))</formula>
    </cfRule>
  </conditionalFormatting>
  <conditionalFormatting sqref="BP34:CT34">
    <cfRule type="containsText" dxfId="4" priority="554" operator="containsText" text="V A C A C">
      <formula>NOT(ISERROR(SEARCH(("V A C A C"),(BP34))))</formula>
    </cfRule>
  </conditionalFormatting>
  <conditionalFormatting sqref="BP34:CT34">
    <cfRule type="containsText" dxfId="4" priority="555" operator="containsText" text="VACAC">
      <formula>NOT(ISERROR(SEARCH(("VACAC"),(BP34))))</formula>
    </cfRule>
  </conditionalFormatting>
  <conditionalFormatting sqref="BP34:CT34">
    <cfRule type="containsText" dxfId="6" priority="556" operator="containsText" text="Ts">
      <formula>NOT(ISERROR(SEARCH(("Ts"),(BP34))))</formula>
    </cfRule>
  </conditionalFormatting>
  <conditionalFormatting sqref="BP34:CT34">
    <cfRule type="containsText" dxfId="7" priority="557" operator="containsText" text="D">
      <formula>NOT(ISERROR(SEARCH(("D"),(BP34))))</formula>
    </cfRule>
  </conditionalFormatting>
  <conditionalFormatting sqref="BP34:CT34">
    <cfRule type="containsText" dxfId="8" priority="558" operator="containsText" text="3">
      <formula>NOT(ISERROR(SEARCH(("3"),(BP34))))</formula>
    </cfRule>
  </conditionalFormatting>
  <conditionalFormatting sqref="BP34:CT34">
    <cfRule type="containsText" dxfId="9" priority="559" operator="containsText" text="2">
      <formula>NOT(ISERROR(SEARCH(("2"),(BP34))))</formula>
    </cfRule>
  </conditionalFormatting>
  <conditionalFormatting sqref="BP34:CT34">
    <cfRule type="containsText" dxfId="10" priority="560" operator="containsText" text="1">
      <formula>NOT(ISERROR(SEARCH(("1"),(BP34))))</formula>
    </cfRule>
  </conditionalFormatting>
  <conditionalFormatting sqref="BP34:CT34">
    <cfRule type="containsText" dxfId="7" priority="561" operator="containsText" text="D">
      <formula>NOT(ISERROR(SEARCH(("D"),(BP34))))</formula>
    </cfRule>
  </conditionalFormatting>
  <conditionalFormatting sqref="BP34:CT34">
    <cfRule type="containsText" dxfId="10" priority="562" operator="containsText" text="L">
      <formula>NOT(ISERROR(SEARCH(("L"),(BP34))))</formula>
    </cfRule>
  </conditionalFormatting>
  <conditionalFormatting sqref="BP36:CT36">
    <cfRule type="containsText" dxfId="7" priority="563" operator="containsText" text="D">
      <formula>NOT(ISERROR(SEARCH(("D"),(BP36))))</formula>
    </cfRule>
  </conditionalFormatting>
  <conditionalFormatting sqref="BP29:CT29 BQ28:CT28">
    <cfRule type="containsText" dxfId="5" priority="564" operator="containsText" text="AP">
      <formula>NOT(ISERROR(SEARCH(("AP"),(BP29))))</formula>
    </cfRule>
  </conditionalFormatting>
  <conditionalFormatting sqref="BQ28:CT28">
    <cfRule type="containsText" dxfId="6" priority="565" operator="containsText" text="Ts">
      <formula>NOT(ISERROR(SEARCH(("Ts"),(BQ28))))</formula>
    </cfRule>
  </conditionalFormatting>
  <conditionalFormatting sqref="BQ28:CT28">
    <cfRule type="containsText" dxfId="7" priority="566" operator="containsText" text="D">
      <formula>NOT(ISERROR(SEARCH(("D"),(BQ28))))</formula>
    </cfRule>
  </conditionalFormatting>
  <conditionalFormatting sqref="BQ28:CT28">
    <cfRule type="containsText" dxfId="8" priority="567" operator="containsText" text="3">
      <formula>NOT(ISERROR(SEARCH(("3"),(BQ28))))</formula>
    </cfRule>
  </conditionalFormatting>
  <conditionalFormatting sqref="BQ28:CT28">
    <cfRule type="containsText" dxfId="9" priority="568" operator="containsText" text="2">
      <formula>NOT(ISERROR(SEARCH(("2"),(BQ28))))</formula>
    </cfRule>
  </conditionalFormatting>
  <conditionalFormatting sqref="BQ28:CT28">
    <cfRule type="containsText" dxfId="10" priority="569" operator="containsText" text="1">
      <formula>NOT(ISERROR(SEARCH(("1"),(BQ28))))</formula>
    </cfRule>
  </conditionalFormatting>
  <conditionalFormatting sqref="BU34:CT35">
    <cfRule type="containsText" dxfId="5" priority="570" operator="containsText" text="AP">
      <formula>NOT(ISERROR(SEARCH(("AP"),(BU34))))</formula>
    </cfRule>
  </conditionalFormatting>
  <conditionalFormatting sqref="BY6:CM6 CS6:CT6">
    <cfRule type="containsText" dxfId="4" priority="571" operator="containsText" text="V A C A C">
      <formula>NOT(ISERROR(SEARCH(("V A C A C"),(BY6))))</formula>
    </cfRule>
  </conditionalFormatting>
  <conditionalFormatting sqref="BY6:CM6 CS6:CT6">
    <cfRule type="containsText" dxfId="4" priority="572" operator="containsText" text="VACAC">
      <formula>NOT(ISERROR(SEARCH(("VACAC"),(BY6))))</formula>
    </cfRule>
  </conditionalFormatting>
  <conditionalFormatting sqref="BY6:CM6 CS6:CT6">
    <cfRule type="containsText" dxfId="6" priority="573" operator="containsText" text="Ts">
      <formula>NOT(ISERROR(SEARCH(("Ts"),(BY6))))</formula>
    </cfRule>
  </conditionalFormatting>
  <conditionalFormatting sqref="BY6:CM6 CS6:CT6">
    <cfRule type="containsText" dxfId="8" priority="574" operator="containsText" text="3">
      <formula>NOT(ISERROR(SEARCH(("3"),(BY6))))</formula>
    </cfRule>
  </conditionalFormatting>
  <conditionalFormatting sqref="BY6:CM6 CS6:CT6">
    <cfRule type="containsText" dxfId="9" priority="575" operator="containsText" text="2">
      <formula>NOT(ISERROR(SEARCH(("2"),(BY6))))</formula>
    </cfRule>
  </conditionalFormatting>
  <conditionalFormatting sqref="BY6:CM6 CS6:CT6">
    <cfRule type="containsText" dxfId="10" priority="576" operator="containsText" text="1">
      <formula>NOT(ISERROR(SEARCH(("1"),(BY6))))</formula>
    </cfRule>
  </conditionalFormatting>
  <conditionalFormatting sqref="BY6:CT6">
    <cfRule type="containsText" dxfId="7" priority="577" operator="containsText" text="D">
      <formula>NOT(ISERROR(SEARCH(("D"),(BY6))))</formula>
    </cfRule>
  </conditionalFormatting>
  <conditionalFormatting sqref="CA34">
    <cfRule type="containsText" dxfId="4" priority="578" operator="containsText" text="V A C A C">
      <formula>NOT(ISERROR(SEARCH(("V A C A C"),(CA34))))</formula>
    </cfRule>
  </conditionalFormatting>
  <conditionalFormatting sqref="CA34">
    <cfRule type="containsText" dxfId="4" priority="579" operator="containsText" text="VACAC">
      <formula>NOT(ISERROR(SEARCH(("VACAC"),(CA34))))</formula>
    </cfRule>
  </conditionalFormatting>
  <conditionalFormatting sqref="CA34">
    <cfRule type="containsText" dxfId="5" priority="580" operator="containsText" text="AP">
      <formula>NOT(ISERROR(SEARCH(("AP"),(CA34))))</formula>
    </cfRule>
  </conditionalFormatting>
  <conditionalFormatting sqref="CA34">
    <cfRule type="containsText" dxfId="6" priority="581" operator="containsText" text="Ts">
      <formula>NOT(ISERROR(SEARCH(("Ts"),(CA34))))</formula>
    </cfRule>
  </conditionalFormatting>
  <conditionalFormatting sqref="CA34">
    <cfRule type="containsText" dxfId="8" priority="582" operator="containsText" text="3">
      <formula>NOT(ISERROR(SEARCH(("3"),(CA34))))</formula>
    </cfRule>
  </conditionalFormatting>
  <conditionalFormatting sqref="CA34">
    <cfRule type="containsText" dxfId="9" priority="583" operator="containsText" text="2">
      <formula>NOT(ISERROR(SEARCH(("2"),(CA34))))</formula>
    </cfRule>
  </conditionalFormatting>
  <conditionalFormatting sqref="CA34">
    <cfRule type="containsText" dxfId="10" priority="584" operator="containsText" text="1">
      <formula>NOT(ISERROR(SEARCH(("1"),(CA34))))</formula>
    </cfRule>
  </conditionalFormatting>
  <conditionalFormatting sqref="CA36">
    <cfRule type="containsText" dxfId="4" priority="585" operator="containsText" text="V A C A C">
      <formula>NOT(ISERROR(SEARCH(("V A C A C"),(CA36))))</formula>
    </cfRule>
  </conditionalFormatting>
  <conditionalFormatting sqref="CA36">
    <cfRule type="containsText" dxfId="4" priority="586" operator="containsText" text="VACAC">
      <formula>NOT(ISERROR(SEARCH(("VACAC"),(CA36))))</formula>
    </cfRule>
  </conditionalFormatting>
  <conditionalFormatting sqref="CA36">
    <cfRule type="containsText" dxfId="5" priority="587" operator="containsText" text="AP">
      <formula>NOT(ISERROR(SEARCH(("AP"),(CA36))))</formula>
    </cfRule>
  </conditionalFormatting>
  <conditionalFormatting sqref="CA36">
    <cfRule type="containsText" dxfId="6" priority="588" operator="containsText" text="Ts">
      <formula>NOT(ISERROR(SEARCH(("Ts"),(CA36))))</formula>
    </cfRule>
  </conditionalFormatting>
  <conditionalFormatting sqref="CA36">
    <cfRule type="containsText" dxfId="8" priority="589" operator="containsText" text="3">
      <formula>NOT(ISERROR(SEARCH(("3"),(CA36))))</formula>
    </cfRule>
  </conditionalFormatting>
  <conditionalFormatting sqref="CA36">
    <cfRule type="containsText" dxfId="9" priority="590" operator="containsText" text="2">
      <formula>NOT(ISERROR(SEARCH(("2"),(CA36))))</formula>
    </cfRule>
  </conditionalFormatting>
  <conditionalFormatting sqref="CA36">
    <cfRule type="containsText" dxfId="10" priority="591" operator="containsText" text="1">
      <formula>NOT(ISERROR(SEARCH(("1"),(CA36))))</formula>
    </cfRule>
  </conditionalFormatting>
  <conditionalFormatting sqref="CA8:CT14">
    <cfRule type="containsText" dxfId="5" priority="592" operator="containsText" text="AP">
      <formula>NOT(ISERROR(SEARCH(("AP"),(CA8))))</formula>
    </cfRule>
  </conditionalFormatting>
  <conditionalFormatting sqref="CA14:CT14">
    <cfRule type="containsText" dxfId="4" priority="593" operator="containsText" text="V A C A C">
      <formula>NOT(ISERROR(SEARCH(("V A C A C"),(CA14))))</formula>
    </cfRule>
  </conditionalFormatting>
  <conditionalFormatting sqref="CA14:CT14">
    <cfRule type="containsText" dxfId="4" priority="594" operator="containsText" text="VACAC">
      <formula>NOT(ISERROR(SEARCH(("VACAC"),(CA14))))</formula>
    </cfRule>
  </conditionalFormatting>
  <conditionalFormatting sqref="CA14:CT14">
    <cfRule type="containsText" dxfId="7" priority="595" operator="containsText" text="D">
      <formula>NOT(ISERROR(SEARCH(("D"),(CA14))))</formula>
    </cfRule>
  </conditionalFormatting>
  <conditionalFormatting sqref="CA14:CT14">
    <cfRule type="containsText" dxfId="8" priority="596" operator="containsText" text="3">
      <formula>NOT(ISERROR(SEARCH(("3"),(CA14))))</formula>
    </cfRule>
  </conditionalFormatting>
  <conditionalFormatting sqref="CA14:CT14">
    <cfRule type="containsText" dxfId="9" priority="597" operator="containsText" text="2">
      <formula>NOT(ISERROR(SEARCH(("2"),(CA14))))</formula>
    </cfRule>
  </conditionalFormatting>
  <conditionalFormatting sqref="CA14:CT14">
    <cfRule type="containsText" dxfId="10" priority="598" operator="containsText" text="1">
      <formula>NOT(ISERROR(SEARCH(("1"),(CA14))))</formula>
    </cfRule>
  </conditionalFormatting>
  <conditionalFormatting sqref="CC35 CG37:CH37">
    <cfRule type="containsText" dxfId="5" priority="599" operator="containsText" text="AP">
      <formula>NOT(ISERROR(SEARCH(("AP"),(CC35))))</formula>
    </cfRule>
  </conditionalFormatting>
  <conditionalFormatting sqref="CC35 CG37:CH37">
    <cfRule type="containsText" dxfId="11" priority="600" operator="containsText" text="ex">
      <formula>NOT(ISERROR(SEARCH(("ex"),(CC35))))</formula>
    </cfRule>
  </conditionalFormatting>
  <conditionalFormatting sqref="BP35:BT35 CG37:CH37">
    <cfRule type="containsText" dxfId="5" priority="601" operator="containsText" text="AP">
      <formula>NOT(ISERROR(SEARCH(("AP"),(BP35))))</formula>
    </cfRule>
  </conditionalFormatting>
  <conditionalFormatting sqref="CK20:CM20">
    <cfRule type="containsText" dxfId="4" priority="602" operator="containsText" text="V A C A C">
      <formula>NOT(ISERROR(SEARCH(("V A C A C"),(CK20))))</formula>
    </cfRule>
  </conditionalFormatting>
  <conditionalFormatting sqref="CK20:CM20">
    <cfRule type="containsText" dxfId="4" priority="603" operator="containsText" text="VACAC">
      <formula>NOT(ISERROR(SEARCH(("VACAC"),(CK20))))</formula>
    </cfRule>
  </conditionalFormatting>
  <conditionalFormatting sqref="CK20:CM20">
    <cfRule type="containsText" dxfId="6" priority="604" operator="containsText" text="Ts">
      <formula>NOT(ISERROR(SEARCH(("Ts"),(CK20))))</formula>
    </cfRule>
  </conditionalFormatting>
  <conditionalFormatting sqref="CK20:CM20">
    <cfRule type="containsText" dxfId="7" priority="605" operator="containsText" text="D">
      <formula>NOT(ISERROR(SEARCH(("D"),(CK20))))</formula>
    </cfRule>
  </conditionalFormatting>
  <conditionalFormatting sqref="CK20:CM20">
    <cfRule type="containsText" dxfId="8" priority="606" operator="containsText" text="3">
      <formula>NOT(ISERROR(SEARCH(("3"),(CK20))))</formula>
    </cfRule>
  </conditionalFormatting>
  <conditionalFormatting sqref="CK20:CM20">
    <cfRule type="containsText" dxfId="9" priority="607" operator="containsText" text="2">
      <formula>NOT(ISERROR(SEARCH(("2"),(CK20))))</formula>
    </cfRule>
  </conditionalFormatting>
  <conditionalFormatting sqref="CK20:CM20">
    <cfRule type="containsText" dxfId="10" priority="608" operator="containsText" text="1">
      <formula>NOT(ISERROR(SEARCH(("1"),(CK20))))</formula>
    </cfRule>
  </conditionalFormatting>
  <conditionalFormatting sqref="CK24:CM24">
    <cfRule type="containsText" dxfId="4" priority="609" operator="containsText" text="V A C A C">
      <formula>NOT(ISERROR(SEARCH(("V A C A C"),(CK24))))</formula>
    </cfRule>
  </conditionalFormatting>
  <conditionalFormatting sqref="CK24:CM24">
    <cfRule type="containsText" dxfId="4" priority="610" operator="containsText" text="VACAC">
      <formula>NOT(ISERROR(SEARCH(("VACAC"),(CK24))))</formula>
    </cfRule>
  </conditionalFormatting>
  <conditionalFormatting sqref="CK24:CM24">
    <cfRule type="containsText" dxfId="6" priority="611" operator="containsText" text="Ts">
      <formula>NOT(ISERROR(SEARCH(("Ts"),(CK24))))</formula>
    </cfRule>
  </conditionalFormatting>
  <conditionalFormatting sqref="CK24:CM24">
    <cfRule type="containsText" dxfId="7" priority="612" operator="containsText" text="D">
      <formula>NOT(ISERROR(SEARCH(("D"),(CK24))))</formula>
    </cfRule>
  </conditionalFormatting>
  <conditionalFormatting sqref="CK24:CM24">
    <cfRule type="containsText" dxfId="8" priority="613" operator="containsText" text="3">
      <formula>NOT(ISERROR(SEARCH(("3"),(CK24))))</formula>
    </cfRule>
  </conditionalFormatting>
  <conditionalFormatting sqref="CK24:CM24">
    <cfRule type="containsText" dxfId="9" priority="614" operator="containsText" text="2">
      <formula>NOT(ISERROR(SEARCH(("2"),(CK24))))</formula>
    </cfRule>
  </conditionalFormatting>
  <conditionalFormatting sqref="CK24:CM24">
    <cfRule type="containsText" dxfId="10" priority="615" operator="containsText" text="1">
      <formula>NOT(ISERROR(SEARCH(("1"),(CK24))))</formula>
    </cfRule>
  </conditionalFormatting>
  <conditionalFormatting sqref="CK25:CT25">
    <cfRule type="containsText" dxfId="11" priority="616" operator="containsText" text="ex">
      <formula>NOT(ISERROR(SEARCH(("ex"),(CK25))))</formula>
    </cfRule>
  </conditionalFormatting>
  <conditionalFormatting sqref="CN6:CR6">
    <cfRule type="containsText" dxfId="10" priority="617" operator="containsText" text="L">
      <formula>NOT(ISERROR(SEARCH(("L"),(CN6))))</formula>
    </cfRule>
  </conditionalFormatting>
  <conditionalFormatting sqref="CQ16:CT16">
    <cfRule type="containsText" dxfId="4" priority="618" operator="containsText" text="V A C A C">
      <formula>NOT(ISERROR(SEARCH(("V A C A C"),(CQ16))))</formula>
    </cfRule>
  </conditionalFormatting>
  <conditionalFormatting sqref="CQ16:CT16">
    <cfRule type="containsText" dxfId="4" priority="619" operator="containsText" text="VACAC">
      <formula>NOT(ISERROR(SEARCH(("VACAC"),(CQ16))))</formula>
    </cfRule>
  </conditionalFormatting>
  <conditionalFormatting sqref="CQ16:CT16">
    <cfRule type="containsText" dxfId="6" priority="620" operator="containsText" text="Ts">
      <formula>NOT(ISERROR(SEARCH(("Ts"),(CQ16))))</formula>
    </cfRule>
  </conditionalFormatting>
  <conditionalFormatting sqref="CQ16:CT16">
    <cfRule type="containsText" dxfId="7" priority="621" operator="containsText" text="D">
      <formula>NOT(ISERROR(SEARCH(("D"),(CQ16))))</formula>
    </cfRule>
  </conditionalFormatting>
  <conditionalFormatting sqref="CQ16:CT16">
    <cfRule type="containsText" dxfId="8" priority="622" operator="containsText" text="3">
      <formula>NOT(ISERROR(SEARCH(("3"),(CQ16))))</formula>
    </cfRule>
  </conditionalFormatting>
  <conditionalFormatting sqref="CQ16:CT16">
    <cfRule type="containsText" dxfId="9" priority="623" operator="containsText" text="2">
      <formula>NOT(ISERROR(SEARCH(("2"),(CQ16))))</formula>
    </cfRule>
  </conditionalFormatting>
  <conditionalFormatting sqref="CQ16:CT16">
    <cfRule type="containsText" dxfId="10" priority="624" operator="containsText" text="1">
      <formula>NOT(ISERROR(SEARCH(("1"),(CQ16))))</formula>
    </cfRule>
  </conditionalFormatting>
  <conditionalFormatting sqref="CQ20:CT20">
    <cfRule type="containsText" dxfId="4" priority="625" operator="containsText" text="V A C A C">
      <formula>NOT(ISERROR(SEARCH(("V A C A C"),(CQ20))))</formula>
    </cfRule>
  </conditionalFormatting>
  <conditionalFormatting sqref="CQ20:CT20">
    <cfRule type="containsText" dxfId="4" priority="626" operator="containsText" text="VACAC">
      <formula>NOT(ISERROR(SEARCH(("VACAC"),(CQ20))))</formula>
    </cfRule>
  </conditionalFormatting>
  <conditionalFormatting sqref="CQ20:CT20">
    <cfRule type="containsText" dxfId="6" priority="627" operator="containsText" text="Ts">
      <formula>NOT(ISERROR(SEARCH(("Ts"),(CQ20))))</formula>
    </cfRule>
  </conditionalFormatting>
  <conditionalFormatting sqref="CQ20:CT20">
    <cfRule type="containsText" dxfId="7" priority="628" operator="containsText" text="D">
      <formula>NOT(ISERROR(SEARCH(("D"),(CQ20))))</formula>
    </cfRule>
  </conditionalFormatting>
  <conditionalFormatting sqref="CQ20:CT20">
    <cfRule type="containsText" dxfId="8" priority="629" operator="containsText" text="3">
      <formula>NOT(ISERROR(SEARCH(("3"),(CQ20))))</formula>
    </cfRule>
  </conditionalFormatting>
  <conditionalFormatting sqref="CQ20:CT20">
    <cfRule type="containsText" dxfId="9" priority="630" operator="containsText" text="2">
      <formula>NOT(ISERROR(SEARCH(("2"),(CQ20))))</formula>
    </cfRule>
  </conditionalFormatting>
  <conditionalFormatting sqref="CQ20:CT20">
    <cfRule type="containsText" dxfId="10" priority="631" operator="containsText" text="1">
      <formula>NOT(ISERROR(SEARCH(("1"),(CQ20))))</formula>
    </cfRule>
  </conditionalFormatting>
  <conditionalFormatting sqref="CQ26:CT26">
    <cfRule type="containsText" dxfId="4" priority="632" operator="containsText" text="V A C A C">
      <formula>NOT(ISERROR(SEARCH(("V A C A C"),(CQ26))))</formula>
    </cfRule>
  </conditionalFormatting>
  <conditionalFormatting sqref="CQ26:CT26">
    <cfRule type="containsText" dxfId="4" priority="633" operator="containsText" text="VACAC">
      <formula>NOT(ISERROR(SEARCH(("VACAC"),(CQ26))))</formula>
    </cfRule>
  </conditionalFormatting>
  <conditionalFormatting sqref="CQ26:CT26">
    <cfRule type="containsText" dxfId="6" priority="634" operator="containsText" text="Ts">
      <formula>NOT(ISERROR(SEARCH(("Ts"),(CQ26))))</formula>
    </cfRule>
  </conditionalFormatting>
  <conditionalFormatting sqref="CQ26:CT26">
    <cfRule type="containsText" dxfId="7" priority="635" operator="containsText" text="D">
      <formula>NOT(ISERROR(SEARCH(("D"),(CQ26))))</formula>
    </cfRule>
  </conditionalFormatting>
  <conditionalFormatting sqref="CQ26:CT26">
    <cfRule type="containsText" dxfId="8" priority="636" operator="containsText" text="3">
      <formula>NOT(ISERROR(SEARCH(("3"),(CQ26))))</formula>
    </cfRule>
  </conditionalFormatting>
  <conditionalFormatting sqref="CQ26:CT26">
    <cfRule type="containsText" dxfId="9" priority="637" operator="containsText" text="2">
      <formula>NOT(ISERROR(SEARCH(("2"),(CQ26))))</formula>
    </cfRule>
  </conditionalFormatting>
  <conditionalFormatting sqref="CQ26:CT26">
    <cfRule type="containsText" dxfId="10" priority="638" operator="containsText" text="1">
      <formula>NOT(ISERROR(SEARCH(("1"),(CQ26))))</formula>
    </cfRule>
  </conditionalFormatting>
  <conditionalFormatting sqref="CR14:CT14">
    <cfRule type="containsText" dxfId="4" priority="639" operator="containsText" text="V A C A C">
      <formula>NOT(ISERROR(SEARCH(("V A C A C"),(CR14))))</formula>
    </cfRule>
  </conditionalFormatting>
  <conditionalFormatting sqref="CR14:CT14">
    <cfRule type="containsText" dxfId="4" priority="640" operator="containsText" text="VACAC">
      <formula>NOT(ISERROR(SEARCH(("VACAC"),(CR14))))</formula>
    </cfRule>
  </conditionalFormatting>
  <conditionalFormatting sqref="CR14:CT14">
    <cfRule type="containsText" dxfId="6" priority="641" operator="containsText" text="Ts">
      <formula>NOT(ISERROR(SEARCH(("Ts"),(CR14))))</formula>
    </cfRule>
  </conditionalFormatting>
  <conditionalFormatting sqref="CR14:CT14">
    <cfRule type="containsText" dxfId="7" priority="642" operator="containsText" text="D">
      <formula>NOT(ISERROR(SEARCH(("D"),(CR14))))</formula>
    </cfRule>
  </conditionalFormatting>
  <conditionalFormatting sqref="CR14:CT14">
    <cfRule type="containsText" dxfId="8" priority="643" operator="containsText" text="3">
      <formula>NOT(ISERROR(SEARCH(("3"),(CR14))))</formula>
    </cfRule>
  </conditionalFormatting>
  <conditionalFormatting sqref="CR14:CT14">
    <cfRule type="containsText" dxfId="9" priority="644" operator="containsText" text="2">
      <formula>NOT(ISERROR(SEARCH(("2"),(CR14))))</formula>
    </cfRule>
  </conditionalFormatting>
  <conditionalFormatting sqref="CR14:CT14">
    <cfRule type="containsText" dxfId="10" priority="645" operator="containsText" text="1">
      <formula>NOT(ISERROR(SEARCH(("1"),(CR14))))</formula>
    </cfRule>
  </conditionalFormatting>
  <conditionalFormatting sqref="CN7 CP7:CR7 CS6:CS7 CT6 DN26:DX27">
    <cfRule type="containsText" dxfId="5" priority="646" operator="containsText" text="AP">
      <formula>NOT(ISERROR(SEARCH(("AP"),(CN7))))</formula>
    </cfRule>
  </conditionalFormatting>
  <conditionalFormatting sqref="CU4:CW4 DL4:EB4">
    <cfRule type="containsText" dxfId="10" priority="647" operator="containsText" text="L">
      <formula>NOT(ISERROR(SEARCH(("L"),(CU4))))</formula>
    </cfRule>
  </conditionalFormatting>
  <conditionalFormatting sqref="CU4:CW4">
    <cfRule type="containsText" dxfId="7" priority="648" operator="containsText" text="D">
      <formula>NOT(ISERROR(SEARCH(("D"),(CU4))))</formula>
    </cfRule>
  </conditionalFormatting>
  <conditionalFormatting sqref="CW4">
    <cfRule type="containsText" dxfId="4" priority="649" operator="containsText" text="V A C A C">
      <formula>NOT(ISERROR(SEARCH(("V A C A C"),(CW4))))</formula>
    </cfRule>
  </conditionalFormatting>
  <conditionalFormatting sqref="CW4">
    <cfRule type="containsText" dxfId="4" priority="650" operator="containsText" text="VACAC">
      <formula>NOT(ISERROR(SEARCH(("VACAC"),(CW4))))</formula>
    </cfRule>
  </conditionalFormatting>
  <conditionalFormatting sqref="CW4">
    <cfRule type="containsText" dxfId="5" priority="651" operator="containsText" text="AP">
      <formula>NOT(ISERROR(SEARCH(("AP"),(CW4))))</formula>
    </cfRule>
  </conditionalFormatting>
  <conditionalFormatting sqref="CW4">
    <cfRule type="containsText" dxfId="6" priority="652" operator="containsText" text="Ts">
      <formula>NOT(ISERROR(SEARCH(("Ts"),(CW4))))</formula>
    </cfRule>
  </conditionalFormatting>
  <conditionalFormatting sqref="CW4">
    <cfRule type="containsText" dxfId="8" priority="653" operator="containsText" text="3">
      <formula>NOT(ISERROR(SEARCH(("3"),(CW4))))</formula>
    </cfRule>
  </conditionalFormatting>
  <conditionalFormatting sqref="CW4">
    <cfRule type="containsText" dxfId="9" priority="654" operator="containsText" text="2">
      <formula>NOT(ISERROR(SEARCH(("2"),(CW4))))</formula>
    </cfRule>
  </conditionalFormatting>
  <conditionalFormatting sqref="CW4">
    <cfRule type="containsText" dxfId="10" priority="655" operator="containsText" text="1">
      <formula>NOT(ISERROR(SEARCH(("1"),(CW4))))</formula>
    </cfRule>
  </conditionalFormatting>
  <conditionalFormatting sqref="CW18">
    <cfRule type="containsText" dxfId="5" priority="656" operator="containsText" text="AP">
      <formula>NOT(ISERROR(SEARCH(("AP"),(CW18))))</formula>
    </cfRule>
  </conditionalFormatting>
  <conditionalFormatting sqref="CW18">
    <cfRule type="containsText" dxfId="6" priority="657" operator="containsText" text="Ts">
      <formula>NOT(ISERROR(SEARCH(("Ts"),(CW18))))</formula>
    </cfRule>
  </conditionalFormatting>
  <conditionalFormatting sqref="CW18">
    <cfRule type="containsText" dxfId="7" priority="658" operator="containsText" text="D">
      <formula>NOT(ISERROR(SEARCH(("D"),(CW18))))</formula>
    </cfRule>
  </conditionalFormatting>
  <conditionalFormatting sqref="CW18">
    <cfRule type="containsText" dxfId="8" priority="659" operator="containsText" text="3">
      <formula>NOT(ISERROR(SEARCH(("3"),(CW18))))</formula>
    </cfRule>
  </conditionalFormatting>
  <conditionalFormatting sqref="CW18">
    <cfRule type="containsText" dxfId="9" priority="660" operator="containsText" text="2">
      <formula>NOT(ISERROR(SEARCH(("2"),(CW18))))</formula>
    </cfRule>
  </conditionalFormatting>
  <conditionalFormatting sqref="CW18">
    <cfRule type="containsText" dxfId="10" priority="661" operator="containsText" text="1">
      <formula>NOT(ISERROR(SEARCH(("1"),(CW18))))</formula>
    </cfRule>
  </conditionalFormatting>
  <conditionalFormatting sqref="CW18">
    <cfRule type="containsText" dxfId="4" priority="662" operator="containsText" text="V A C A C">
      <formula>NOT(ISERROR(SEARCH(("V A C A C"),(CW18))))</formula>
    </cfRule>
  </conditionalFormatting>
  <conditionalFormatting sqref="CW18">
    <cfRule type="containsText" dxfId="4" priority="663" operator="containsText" text="VACAC">
      <formula>NOT(ISERROR(SEARCH(("VACAC"),(CW18))))</formula>
    </cfRule>
  </conditionalFormatting>
  <conditionalFormatting sqref="CW18">
    <cfRule type="containsText" dxfId="6" priority="664" operator="containsText" text="Ts">
      <formula>NOT(ISERROR(SEARCH(("Ts"),(CW18))))</formula>
    </cfRule>
  </conditionalFormatting>
  <conditionalFormatting sqref="CW18">
    <cfRule type="containsText" dxfId="7" priority="665" operator="containsText" text="D">
      <formula>NOT(ISERROR(SEARCH(("D"),(CW18))))</formula>
    </cfRule>
  </conditionalFormatting>
  <conditionalFormatting sqref="CW18">
    <cfRule type="containsText" dxfId="8" priority="666" operator="containsText" text="3">
      <formula>NOT(ISERROR(SEARCH(("3"),(CW18))))</formula>
    </cfRule>
  </conditionalFormatting>
  <conditionalFormatting sqref="CW18">
    <cfRule type="containsText" dxfId="9" priority="667" operator="containsText" text="2">
      <formula>NOT(ISERROR(SEARCH(("2"),(CW18))))</formula>
    </cfRule>
  </conditionalFormatting>
  <conditionalFormatting sqref="CW18">
    <cfRule type="containsText" dxfId="10" priority="668" operator="containsText" text="1">
      <formula>NOT(ISERROR(SEARCH(("1"),(CW18))))</formula>
    </cfRule>
  </conditionalFormatting>
  <conditionalFormatting sqref="CW20">
    <cfRule type="containsText" dxfId="5" priority="669" operator="containsText" text="AP">
      <formula>NOT(ISERROR(SEARCH(("AP"),(CW20))))</formula>
    </cfRule>
  </conditionalFormatting>
  <conditionalFormatting sqref="CW20">
    <cfRule type="containsText" dxfId="6" priority="670" operator="containsText" text="Ts">
      <formula>NOT(ISERROR(SEARCH(("Ts"),(CW20))))</formula>
    </cfRule>
  </conditionalFormatting>
  <conditionalFormatting sqref="CW20">
    <cfRule type="containsText" dxfId="7" priority="671" operator="containsText" text="D">
      <formula>NOT(ISERROR(SEARCH(("D"),(CW20))))</formula>
    </cfRule>
  </conditionalFormatting>
  <conditionalFormatting sqref="CW20">
    <cfRule type="containsText" dxfId="8" priority="672" operator="containsText" text="3">
      <formula>NOT(ISERROR(SEARCH(("3"),(CW20))))</formula>
    </cfRule>
  </conditionalFormatting>
  <conditionalFormatting sqref="CW20">
    <cfRule type="containsText" dxfId="9" priority="673" operator="containsText" text="2">
      <formula>NOT(ISERROR(SEARCH(("2"),(CW20))))</formula>
    </cfRule>
  </conditionalFormatting>
  <conditionalFormatting sqref="CW20">
    <cfRule type="containsText" dxfId="10" priority="674" operator="containsText" text="1">
      <formula>NOT(ISERROR(SEARCH(("1"),(CW20))))</formula>
    </cfRule>
  </conditionalFormatting>
  <conditionalFormatting sqref="CW6:CX6">
    <cfRule type="containsText" dxfId="7" priority="675" operator="containsText" text="D">
      <formula>NOT(ISERROR(SEARCH(("D"),(CW6))))</formula>
    </cfRule>
  </conditionalFormatting>
  <conditionalFormatting sqref="CW6:CX6">
    <cfRule type="containsText" dxfId="10" priority="676" operator="containsText" text="L">
      <formula>NOT(ISERROR(SEARCH(("L"),(CW6))))</formula>
    </cfRule>
  </conditionalFormatting>
  <conditionalFormatting sqref="CW8:CX8">
    <cfRule type="containsText" dxfId="5" priority="677" operator="containsText" text="AP">
      <formula>NOT(ISERROR(SEARCH(("AP"),(CW8))))</formula>
    </cfRule>
  </conditionalFormatting>
  <conditionalFormatting sqref="CW8:CX8">
    <cfRule type="containsText" dxfId="6" priority="678" operator="containsText" text="Ts">
      <formula>NOT(ISERROR(SEARCH(("Ts"),(CW8))))</formula>
    </cfRule>
  </conditionalFormatting>
  <conditionalFormatting sqref="CW8:CX8">
    <cfRule type="containsText" dxfId="7" priority="679" operator="containsText" text="D">
      <formula>NOT(ISERROR(SEARCH(("D"),(CW8))))</formula>
    </cfRule>
  </conditionalFormatting>
  <conditionalFormatting sqref="CW8:CX8">
    <cfRule type="containsText" dxfId="8" priority="680" operator="containsText" text="3">
      <formula>NOT(ISERROR(SEARCH(("3"),(CW8))))</formula>
    </cfRule>
  </conditionalFormatting>
  <conditionalFormatting sqref="CW8:CX8">
    <cfRule type="containsText" dxfId="9" priority="681" operator="containsText" text="2">
      <formula>NOT(ISERROR(SEARCH(("2"),(CW8))))</formula>
    </cfRule>
  </conditionalFormatting>
  <conditionalFormatting sqref="CW8:CX8">
    <cfRule type="containsText" dxfId="10" priority="682" operator="containsText" text="1">
      <formula>NOT(ISERROR(SEARCH(("1"),(CW8))))</formula>
    </cfRule>
  </conditionalFormatting>
  <conditionalFormatting sqref="CW10:CX10 CZ10:DF10 DH10:DX10">
    <cfRule type="containsText" dxfId="4" priority="683" operator="containsText" text="V A C A C">
      <formula>NOT(ISERROR(SEARCH(("V A C A C"),(CW10))))</formula>
    </cfRule>
  </conditionalFormatting>
  <conditionalFormatting sqref="CW10:CX10 CZ10:DF10 DH10:DX10">
    <cfRule type="containsText" dxfId="4" priority="684" operator="containsText" text="VACAC">
      <formula>NOT(ISERROR(SEARCH(("VACAC"),(CW10))))</formula>
    </cfRule>
  </conditionalFormatting>
  <conditionalFormatting sqref="CW10:CX10">
    <cfRule type="containsText" dxfId="5" priority="685" operator="containsText" text="AP">
      <formula>NOT(ISERROR(SEARCH(("AP"),(CW10))))</formula>
    </cfRule>
  </conditionalFormatting>
  <conditionalFormatting sqref="CW10:CX10">
    <cfRule type="containsText" dxfId="6" priority="686" operator="containsText" text="Ts">
      <formula>NOT(ISERROR(SEARCH(("Ts"),(CW10))))</formula>
    </cfRule>
  </conditionalFormatting>
  <conditionalFormatting sqref="CW10:CX10">
    <cfRule type="containsText" dxfId="7" priority="687" operator="containsText" text="D">
      <formula>NOT(ISERROR(SEARCH(("D"),(CW10))))</formula>
    </cfRule>
  </conditionalFormatting>
  <conditionalFormatting sqref="CW10:CX10">
    <cfRule type="containsText" dxfId="8" priority="688" operator="containsText" text="3">
      <formula>NOT(ISERROR(SEARCH(("3"),(CW10))))</formula>
    </cfRule>
  </conditionalFormatting>
  <conditionalFormatting sqref="CW10:CX10">
    <cfRule type="containsText" dxfId="9" priority="689" operator="containsText" text="2">
      <formula>NOT(ISERROR(SEARCH(("2"),(CW10))))</formula>
    </cfRule>
  </conditionalFormatting>
  <conditionalFormatting sqref="CW10:CX10">
    <cfRule type="containsText" dxfId="10" priority="690" operator="containsText" text="1">
      <formula>NOT(ISERROR(SEARCH(("1"),(CW10))))</formula>
    </cfRule>
  </conditionalFormatting>
  <conditionalFormatting sqref="CW19:CX19 CZ19:DX19">
    <cfRule type="containsText" dxfId="11" priority="691" operator="containsText" text="ex">
      <formula>NOT(ISERROR(SEARCH(("ex"),(CW19))))</formula>
    </cfRule>
  </conditionalFormatting>
  <conditionalFormatting sqref="CW19:CX19">
    <cfRule type="containsText" dxfId="5" priority="692" operator="containsText" text="AP">
      <formula>NOT(ISERROR(SEARCH(("AP"),(CW19))))</formula>
    </cfRule>
  </conditionalFormatting>
  <conditionalFormatting sqref="CW21:CX21 CW25:DX25 DA21:DX21">
    <cfRule type="containsText" dxfId="11" priority="693" operator="containsText" text="ex">
      <formula>NOT(ISERROR(SEARCH(("ex"),(CW21))))</formula>
    </cfRule>
  </conditionalFormatting>
  <conditionalFormatting sqref="CW21:CX21 DO25:DQ25">
    <cfRule type="containsText" dxfId="5" priority="694" operator="containsText" text="AP">
      <formula>NOT(ISERROR(SEARCH(("AP"),(CW21))))</formula>
    </cfRule>
  </conditionalFormatting>
  <conditionalFormatting sqref="CW26:CX26 CZ26:DX26">
    <cfRule type="containsText" dxfId="7" priority="695" operator="containsText" text="D">
      <formula>NOT(ISERROR(SEARCH(("D"),(CW26))))</formula>
    </cfRule>
  </conditionalFormatting>
  <conditionalFormatting sqref="CW26:CX26 CZ26:DX26">
    <cfRule type="containsText" dxfId="8" priority="696" operator="containsText" text="3">
      <formula>NOT(ISERROR(SEARCH(("3"),(CW26))))</formula>
    </cfRule>
  </conditionalFormatting>
  <conditionalFormatting sqref="CW26:CX26 CZ26:DX26">
    <cfRule type="containsText" dxfId="9" priority="697" operator="containsText" text="2">
      <formula>NOT(ISERROR(SEARCH(("2"),(CW26))))</formula>
    </cfRule>
  </conditionalFormatting>
  <conditionalFormatting sqref="CW26:CX26 CZ26:DX26">
    <cfRule type="containsText" dxfId="10" priority="698" operator="containsText" text="1">
      <formula>NOT(ISERROR(SEARCH(("1"),(CW26))))</formula>
    </cfRule>
  </conditionalFormatting>
  <conditionalFormatting sqref="CW7 CW26:CX27 CY27:DF27 CZ7:DJ7">
    <cfRule type="containsText" dxfId="5" priority="699" operator="containsText" text="AP">
      <formula>NOT(ISERROR(SEARCH(("AP"),(CW7))))</formula>
    </cfRule>
  </conditionalFormatting>
  <conditionalFormatting sqref="CW30:CX30 EA30:EB30">
    <cfRule type="containsText" dxfId="7" priority="700" operator="containsText" text="D">
      <formula>NOT(ISERROR(SEARCH(("D"),(CW30))))</formula>
    </cfRule>
  </conditionalFormatting>
  <conditionalFormatting sqref="CW30:CX30 EA30:EB30">
    <cfRule type="containsText" dxfId="8" priority="701" operator="containsText" text="3">
      <formula>NOT(ISERROR(SEARCH(("3"),(CW30))))</formula>
    </cfRule>
  </conditionalFormatting>
  <conditionalFormatting sqref="CW30:CX30 EA30:EB30">
    <cfRule type="containsText" dxfId="9" priority="702" operator="containsText" text="2">
      <formula>NOT(ISERROR(SEARCH(("2"),(CW30))))</formula>
    </cfRule>
  </conditionalFormatting>
  <conditionalFormatting sqref="CW30:CX30 EA30:EB30">
    <cfRule type="containsText" dxfId="10" priority="703" operator="containsText" text="1">
      <formula>NOT(ISERROR(SEARCH(("1"),(CW30))))</formula>
    </cfRule>
  </conditionalFormatting>
  <conditionalFormatting sqref="CW30:CX30 EA30:FB30">
    <cfRule type="containsText" dxfId="6" priority="704" operator="containsText" text="Ts">
      <formula>NOT(ISERROR(SEARCH(("Ts"),(CW30))))</formula>
    </cfRule>
  </conditionalFormatting>
  <conditionalFormatting sqref="CW30:CX30">
    <cfRule type="containsText" dxfId="4" priority="705" operator="containsText" text="V A C A C">
      <formula>NOT(ISERROR(SEARCH(("V A C A C"),(CW30))))</formula>
    </cfRule>
  </conditionalFormatting>
  <conditionalFormatting sqref="CW30:CX30">
    <cfRule type="containsText" dxfId="4" priority="706" operator="containsText" text="VACAC">
      <formula>NOT(ISERROR(SEARCH(("VACAC"),(CW30))))</formula>
    </cfRule>
  </conditionalFormatting>
  <conditionalFormatting sqref="CW22:CY22">
    <cfRule type="containsText" dxfId="4" priority="707" operator="containsText" text="V A C A C">
      <formula>NOT(ISERROR(SEARCH(("V A C A C"),(CW22))))</formula>
    </cfRule>
  </conditionalFormatting>
  <conditionalFormatting sqref="CW22:CY22">
    <cfRule type="containsText" dxfId="4" priority="708" operator="containsText" text="VACAC">
      <formula>NOT(ISERROR(SEARCH(("VACAC"),(CW22))))</formula>
    </cfRule>
  </conditionalFormatting>
  <conditionalFormatting sqref="CW22:CY22">
    <cfRule type="containsText" dxfId="6" priority="709" operator="containsText" text="Ts">
      <formula>NOT(ISERROR(SEARCH(("Ts"),(CW22))))</formula>
    </cfRule>
  </conditionalFormatting>
  <conditionalFormatting sqref="CW22:CY22">
    <cfRule type="containsText" dxfId="7" priority="710" operator="containsText" text="D">
      <formula>NOT(ISERROR(SEARCH(("D"),(CW22))))</formula>
    </cfRule>
  </conditionalFormatting>
  <conditionalFormatting sqref="CW22:CY22">
    <cfRule type="containsText" dxfId="8" priority="711" operator="containsText" text="3">
      <formula>NOT(ISERROR(SEARCH(("3"),(CW22))))</formula>
    </cfRule>
  </conditionalFormatting>
  <conditionalFormatting sqref="CW22:CY22">
    <cfRule type="containsText" dxfId="9" priority="712" operator="containsText" text="2">
      <formula>NOT(ISERROR(SEARCH(("2"),(CW22))))</formula>
    </cfRule>
  </conditionalFormatting>
  <conditionalFormatting sqref="CW22:CY22">
    <cfRule type="containsText" dxfId="10" priority="713" operator="containsText" text="1">
      <formula>NOT(ISERROR(SEARCH(("1"),(CW22))))</formula>
    </cfRule>
  </conditionalFormatting>
  <conditionalFormatting sqref="CW22:CY22">
    <cfRule type="containsText" dxfId="4" priority="714" operator="containsText" text="V A C A C">
      <formula>NOT(ISERROR(SEARCH(("V A C A C"),(CW22))))</formula>
    </cfRule>
  </conditionalFormatting>
  <conditionalFormatting sqref="CW22:CY22">
    <cfRule type="containsText" dxfId="4" priority="715" operator="containsText" text="VACAC">
      <formula>NOT(ISERROR(SEARCH(("VACAC"),(CW22))))</formula>
    </cfRule>
  </conditionalFormatting>
  <conditionalFormatting sqref="CW22:CY22">
    <cfRule type="containsText" dxfId="6" priority="716" operator="containsText" text="Ts">
      <formula>NOT(ISERROR(SEARCH(("Ts"),(CW22))))</formula>
    </cfRule>
  </conditionalFormatting>
  <conditionalFormatting sqref="CW22:CY22">
    <cfRule type="containsText" dxfId="7" priority="717" operator="containsText" text="D">
      <formula>NOT(ISERROR(SEARCH(("D"),(CW22))))</formula>
    </cfRule>
  </conditionalFormatting>
  <conditionalFormatting sqref="CW22:CY22">
    <cfRule type="containsText" dxfId="8" priority="718" operator="containsText" text="3">
      <formula>NOT(ISERROR(SEARCH(("3"),(CW22))))</formula>
    </cfRule>
  </conditionalFormatting>
  <conditionalFormatting sqref="CW22:CY22">
    <cfRule type="containsText" dxfId="9" priority="719" operator="containsText" text="2">
      <formula>NOT(ISERROR(SEARCH(("2"),(CW22))))</formula>
    </cfRule>
  </conditionalFormatting>
  <conditionalFormatting sqref="CW22:CY22">
    <cfRule type="containsText" dxfId="10" priority="720" operator="containsText" text="1">
      <formula>NOT(ISERROR(SEARCH(("1"),(CW22))))</formula>
    </cfRule>
  </conditionalFormatting>
  <conditionalFormatting sqref="CW17:CZ17">
    <cfRule type="containsText" dxfId="5" priority="721" operator="containsText" text="AP">
      <formula>NOT(ISERROR(SEARCH(("AP"),(CW17))))</formula>
    </cfRule>
  </conditionalFormatting>
  <conditionalFormatting sqref="CW32:DA32">
    <cfRule type="containsText" dxfId="4" priority="722" operator="containsText" text="V A C A C">
      <formula>NOT(ISERROR(SEARCH(("V A C A C"),(CW32))))</formula>
    </cfRule>
  </conditionalFormatting>
  <conditionalFormatting sqref="CW32:DA32">
    <cfRule type="containsText" dxfId="4" priority="723" operator="containsText" text="VACAC">
      <formula>NOT(ISERROR(SEARCH(("VACAC"),(CW32))))</formula>
    </cfRule>
  </conditionalFormatting>
  <conditionalFormatting sqref="CW32:DA32">
    <cfRule type="containsText" dxfId="6" priority="724" operator="containsText" text="Ts">
      <formula>NOT(ISERROR(SEARCH(("Ts"),(CW32))))</formula>
    </cfRule>
  </conditionalFormatting>
  <conditionalFormatting sqref="CW32:DA32">
    <cfRule type="containsText" dxfId="7" priority="725" operator="containsText" text="D">
      <formula>NOT(ISERROR(SEARCH(("D"),(CW32))))</formula>
    </cfRule>
  </conditionalFormatting>
  <conditionalFormatting sqref="CW32:DA32">
    <cfRule type="containsText" dxfId="8" priority="726" operator="containsText" text="3">
      <formula>NOT(ISERROR(SEARCH(("3"),(CW32))))</formula>
    </cfRule>
  </conditionalFormatting>
  <conditionalFormatting sqref="CW32:DA32">
    <cfRule type="containsText" dxfId="9" priority="727" operator="containsText" text="2">
      <formula>NOT(ISERROR(SEARCH(("2"),(CW32))))</formula>
    </cfRule>
  </conditionalFormatting>
  <conditionalFormatting sqref="CW32:DA32">
    <cfRule type="containsText" dxfId="10" priority="728" operator="containsText" text="1">
      <formula>NOT(ISERROR(SEARCH(("1"),(CW32))))</formula>
    </cfRule>
  </conditionalFormatting>
  <conditionalFormatting sqref="CW32:DA32">
    <cfRule type="containsText" dxfId="4" priority="729" operator="containsText" text="V A C A C">
      <formula>NOT(ISERROR(SEARCH(("V A C A C"),(CW32))))</formula>
    </cfRule>
  </conditionalFormatting>
  <conditionalFormatting sqref="CW32:DA32">
    <cfRule type="containsText" dxfId="4" priority="730" operator="containsText" text="VACAC">
      <formula>NOT(ISERROR(SEARCH(("VACAC"),(CW32))))</formula>
    </cfRule>
  </conditionalFormatting>
  <conditionalFormatting sqref="CW32:DA32">
    <cfRule type="containsText" dxfId="6" priority="731" operator="containsText" text="Ts">
      <formula>NOT(ISERROR(SEARCH(("Ts"),(CW32))))</formula>
    </cfRule>
  </conditionalFormatting>
  <conditionalFormatting sqref="CW32:DA32">
    <cfRule type="containsText" dxfId="7" priority="732" operator="containsText" text="D">
      <formula>NOT(ISERROR(SEARCH(("D"),(CW32))))</formula>
    </cfRule>
  </conditionalFormatting>
  <conditionalFormatting sqref="CW32:DA32">
    <cfRule type="containsText" dxfId="8" priority="733" operator="containsText" text="3">
      <formula>NOT(ISERROR(SEARCH(("3"),(CW32))))</formula>
    </cfRule>
  </conditionalFormatting>
  <conditionalFormatting sqref="CW32:DA32">
    <cfRule type="containsText" dxfId="9" priority="734" operator="containsText" text="2">
      <formula>NOT(ISERROR(SEARCH(("2"),(CW32))))</formula>
    </cfRule>
  </conditionalFormatting>
  <conditionalFormatting sqref="CW32:DA32">
    <cfRule type="containsText" dxfId="10" priority="735" operator="containsText" text="1">
      <formula>NOT(ISERROR(SEARCH(("1"),(CW32))))</formula>
    </cfRule>
  </conditionalFormatting>
  <conditionalFormatting sqref="CW32:DA35">
    <cfRule type="containsText" dxfId="5" priority="736" operator="containsText" text="AP">
      <formula>NOT(ISERROR(SEARCH(("AP"),(CW32))))</formula>
    </cfRule>
  </conditionalFormatting>
  <conditionalFormatting sqref="CW34:DA34">
    <cfRule type="containsText" dxfId="4" priority="737" operator="containsText" text="V A C A C">
      <formula>NOT(ISERROR(SEARCH(("V A C A C"),(CW34))))</formula>
    </cfRule>
  </conditionalFormatting>
  <conditionalFormatting sqref="CW34:DA34">
    <cfRule type="containsText" dxfId="4" priority="738" operator="containsText" text="VACAC">
      <formula>NOT(ISERROR(SEARCH(("VACAC"),(CW34))))</formula>
    </cfRule>
  </conditionalFormatting>
  <conditionalFormatting sqref="CW34:DA34">
    <cfRule type="containsText" dxfId="6" priority="739" operator="containsText" text="Ts">
      <formula>NOT(ISERROR(SEARCH(("Ts"),(CW34))))</formula>
    </cfRule>
  </conditionalFormatting>
  <conditionalFormatting sqref="CW34:DA34">
    <cfRule type="containsText" dxfId="7" priority="740" operator="containsText" text="D">
      <formula>NOT(ISERROR(SEARCH(("D"),(CW34))))</formula>
    </cfRule>
  </conditionalFormatting>
  <conditionalFormatting sqref="CW34:DA34">
    <cfRule type="containsText" dxfId="8" priority="741" operator="containsText" text="3">
      <formula>NOT(ISERROR(SEARCH(("3"),(CW34))))</formula>
    </cfRule>
  </conditionalFormatting>
  <conditionalFormatting sqref="CW34:DA34">
    <cfRule type="containsText" dxfId="9" priority="742" operator="containsText" text="2">
      <formula>NOT(ISERROR(SEARCH(("2"),(CW34))))</formula>
    </cfRule>
  </conditionalFormatting>
  <conditionalFormatting sqref="CW34:DA34">
    <cfRule type="containsText" dxfId="10" priority="743" operator="containsText" text="1">
      <formula>NOT(ISERROR(SEARCH(("1"),(CW34))))</formula>
    </cfRule>
  </conditionalFormatting>
  <conditionalFormatting sqref="CW34:DA34">
    <cfRule type="containsText" dxfId="4" priority="744" operator="containsText" text="V A C A C">
      <formula>NOT(ISERROR(SEARCH(("V A C A C"),(CW34))))</formula>
    </cfRule>
  </conditionalFormatting>
  <conditionalFormatting sqref="CW34:DA34">
    <cfRule type="containsText" dxfId="4" priority="745" operator="containsText" text="VACAC">
      <formula>NOT(ISERROR(SEARCH(("VACAC"),(CW34))))</formula>
    </cfRule>
  </conditionalFormatting>
  <conditionalFormatting sqref="CW34:DA34">
    <cfRule type="containsText" dxfId="6" priority="746" operator="containsText" text="Ts">
      <formula>NOT(ISERROR(SEARCH(("Ts"),(CW34))))</formula>
    </cfRule>
  </conditionalFormatting>
  <conditionalFormatting sqref="CW34:DA34">
    <cfRule type="containsText" dxfId="7" priority="747" operator="containsText" text="D">
      <formula>NOT(ISERROR(SEARCH(("D"),(CW34))))</formula>
    </cfRule>
  </conditionalFormatting>
  <conditionalFormatting sqref="CW34:DA34">
    <cfRule type="containsText" dxfId="8" priority="748" operator="containsText" text="3">
      <formula>NOT(ISERROR(SEARCH(("3"),(CW34))))</formula>
    </cfRule>
  </conditionalFormatting>
  <conditionalFormatting sqref="CW34:DA34">
    <cfRule type="containsText" dxfId="9" priority="749" operator="containsText" text="2">
      <formula>NOT(ISERROR(SEARCH(("2"),(CW34))))</formula>
    </cfRule>
  </conditionalFormatting>
  <conditionalFormatting sqref="CW34:DA34">
    <cfRule type="containsText" dxfId="10" priority="750" operator="containsText" text="1">
      <formula>NOT(ISERROR(SEARCH(("1"),(CW34))))</formula>
    </cfRule>
  </conditionalFormatting>
  <conditionalFormatting sqref="CW12:DF12">
    <cfRule type="containsText" dxfId="4" priority="751" operator="containsText" text="V A C A C">
      <formula>NOT(ISERROR(SEARCH(("V A C A C"),(CW12))))</formula>
    </cfRule>
  </conditionalFormatting>
  <conditionalFormatting sqref="CW12:DF12">
    <cfRule type="containsText" dxfId="4" priority="752" operator="containsText" text="VACAC">
      <formula>NOT(ISERROR(SEARCH(("VACAC"),(CW12))))</formula>
    </cfRule>
  </conditionalFormatting>
  <conditionalFormatting sqref="CW12:DF12">
    <cfRule type="containsText" dxfId="5" priority="753" operator="containsText" text="AP">
      <formula>NOT(ISERROR(SEARCH(("AP"),(CW12))))</formula>
    </cfRule>
  </conditionalFormatting>
  <conditionalFormatting sqref="CW12:DF12">
    <cfRule type="containsText" dxfId="6" priority="754" operator="containsText" text="Ts">
      <formula>NOT(ISERROR(SEARCH(("Ts"),(CW12))))</formula>
    </cfRule>
  </conditionalFormatting>
  <conditionalFormatting sqref="CW12:DF12">
    <cfRule type="containsText" dxfId="7" priority="755" operator="containsText" text="D">
      <formula>NOT(ISERROR(SEARCH(("D"),(CW12))))</formula>
    </cfRule>
  </conditionalFormatting>
  <conditionalFormatting sqref="CW12:DF12">
    <cfRule type="containsText" dxfId="8" priority="756" operator="containsText" text="3">
      <formula>NOT(ISERROR(SEARCH(("3"),(CW12))))</formula>
    </cfRule>
  </conditionalFormatting>
  <conditionalFormatting sqref="CW12:DF12">
    <cfRule type="containsText" dxfId="9" priority="757" operator="containsText" text="2">
      <formula>NOT(ISERROR(SEARCH(("2"),(CW12))))</formula>
    </cfRule>
  </conditionalFormatting>
  <conditionalFormatting sqref="CW12:DF12">
    <cfRule type="containsText" dxfId="10" priority="758" operator="containsText" text="1">
      <formula>NOT(ISERROR(SEARCH(("1"),(CW12))))</formula>
    </cfRule>
  </conditionalFormatting>
  <conditionalFormatting sqref="CW24:DF24">
    <cfRule type="containsText" dxfId="5" priority="759" operator="containsText" text="AP">
      <formula>NOT(ISERROR(SEARCH(("AP"),(CW24))))</formula>
    </cfRule>
  </conditionalFormatting>
  <conditionalFormatting sqref="CW24:DF24">
    <cfRule type="containsText" dxfId="6" priority="760" operator="containsText" text="Ts">
      <formula>NOT(ISERROR(SEARCH(("Ts"),(CW24))))</formula>
    </cfRule>
  </conditionalFormatting>
  <conditionalFormatting sqref="CW24:DF24">
    <cfRule type="containsText" dxfId="7" priority="761" operator="containsText" text="D">
      <formula>NOT(ISERROR(SEARCH(("D"),(CW24))))</formula>
    </cfRule>
  </conditionalFormatting>
  <conditionalFormatting sqref="CW24:DF24">
    <cfRule type="containsText" dxfId="8" priority="762" operator="containsText" text="3">
      <formula>NOT(ISERROR(SEARCH(("3"),(CW24))))</formula>
    </cfRule>
  </conditionalFormatting>
  <conditionalFormatting sqref="CW24:DF24">
    <cfRule type="containsText" dxfId="9" priority="763" operator="containsText" text="2">
      <formula>NOT(ISERROR(SEARCH(("2"),(CW24))))</formula>
    </cfRule>
  </conditionalFormatting>
  <conditionalFormatting sqref="CW24:DF24">
    <cfRule type="containsText" dxfId="10" priority="764" operator="containsText" text="1">
      <formula>NOT(ISERROR(SEARCH(("1"),(CW24))))</formula>
    </cfRule>
  </conditionalFormatting>
  <conditionalFormatting sqref="CW28:DF28 DH28:DX28 EA28:EB28">
    <cfRule type="containsText" dxfId="7" priority="765" operator="containsText" text="D">
      <formula>NOT(ISERROR(SEARCH(("D"),(CW28))))</formula>
    </cfRule>
  </conditionalFormatting>
  <conditionalFormatting sqref="CW28:DF28 DH28:DX28 EA28:EB28">
    <cfRule type="containsText" dxfId="8" priority="766" operator="containsText" text="3">
      <formula>NOT(ISERROR(SEARCH(("3"),(CW28))))</formula>
    </cfRule>
  </conditionalFormatting>
  <conditionalFormatting sqref="CW28:DF28 DH28:DX28 EA28:EB28">
    <cfRule type="containsText" dxfId="9" priority="767" operator="containsText" text="2">
      <formula>NOT(ISERROR(SEARCH(("2"),(CW28))))</formula>
    </cfRule>
  </conditionalFormatting>
  <conditionalFormatting sqref="CW28:DF28 DH28:DX28 EA28:EB28">
    <cfRule type="containsText" dxfId="10" priority="768" operator="containsText" text="1">
      <formula>NOT(ISERROR(SEARCH(("1"),(CW28))))</formula>
    </cfRule>
  </conditionalFormatting>
  <conditionalFormatting sqref="CW28:DF28 DH28:DX28">
    <cfRule type="containsText" dxfId="4" priority="769" operator="containsText" text="V A C A C">
      <formula>NOT(ISERROR(SEARCH(("V A C A C"),(CW28))))</formula>
    </cfRule>
  </conditionalFormatting>
  <conditionalFormatting sqref="CW28:DF28 DH28:DX28">
    <cfRule type="containsText" dxfId="4" priority="770" operator="containsText" text="VACAC">
      <formula>NOT(ISERROR(SEARCH(("VACAC"),(CW28))))</formula>
    </cfRule>
  </conditionalFormatting>
  <conditionalFormatting sqref="CW28:DF28 DH28:DX28">
    <cfRule type="containsText" dxfId="5" priority="771" operator="containsText" text="AP">
      <formula>NOT(ISERROR(SEARCH(("AP"),(CW28))))</formula>
    </cfRule>
  </conditionalFormatting>
  <conditionalFormatting sqref="CW34:DF34">
    <cfRule type="containsText" dxfId="7" priority="772" operator="containsText" text="D">
      <formula>NOT(ISERROR(SEARCH(("D"),(CW34))))</formula>
    </cfRule>
  </conditionalFormatting>
  <conditionalFormatting sqref="CW34:DF34">
    <cfRule type="containsText" dxfId="10" priority="773" operator="containsText" text="L">
      <formula>NOT(ISERROR(SEARCH(("L"),(CW34))))</formula>
    </cfRule>
  </conditionalFormatting>
  <conditionalFormatting sqref="CW36:DF36">
    <cfRule type="containsText" dxfId="7" priority="774" operator="containsText" text="D">
      <formula>NOT(ISERROR(SEARCH(("D"),(CW36))))</formula>
    </cfRule>
  </conditionalFormatting>
  <conditionalFormatting sqref="CW36:DF36">
    <cfRule type="containsText" dxfId="10" priority="775" operator="containsText" text="L">
      <formula>NOT(ISERROR(SEARCH(("L"),(CW36))))</formula>
    </cfRule>
  </conditionalFormatting>
  <conditionalFormatting sqref="CW17:DK17">
    <cfRule type="containsText" dxfId="11" priority="776" operator="containsText" text="ex">
      <formula>NOT(ISERROR(SEARCH(("ex"),(CW17))))</formula>
    </cfRule>
  </conditionalFormatting>
  <conditionalFormatting sqref="CW7 CW9:DX9 CZ7:DG7 EA9:FB9">
    <cfRule type="containsText" dxfId="11" priority="777" operator="containsText" text="ex">
      <formula>NOT(ISERROR(SEARCH(("ex"),(CW7))))</formula>
    </cfRule>
  </conditionalFormatting>
  <conditionalFormatting sqref="CW11:DX11">
    <cfRule type="containsText" dxfId="11" priority="778" operator="containsText" text="ex">
      <formula>NOT(ISERROR(SEARCH(("ex"),(CW11))))</formula>
    </cfRule>
  </conditionalFormatting>
  <conditionalFormatting sqref="CW13:DX13">
    <cfRule type="containsText" dxfId="11" priority="779" operator="containsText" text="ex">
      <formula>NOT(ISERROR(SEARCH(("ex"),(CW13))))</formula>
    </cfRule>
  </conditionalFormatting>
  <conditionalFormatting sqref="CW13:DX13">
    <cfRule type="containsText" dxfId="5" priority="780" operator="containsText" text="AP">
      <formula>NOT(ISERROR(SEARCH(("AP"),(CW13))))</formula>
    </cfRule>
  </conditionalFormatting>
  <conditionalFormatting sqref="CW14:DX14 EA14:EB14">
    <cfRule type="containsText" dxfId="7" priority="781" operator="containsText" text="D">
      <formula>NOT(ISERROR(SEARCH(("D"),(CW14))))</formula>
    </cfRule>
  </conditionalFormatting>
  <conditionalFormatting sqref="CW14:DX14 EA14:EB14">
    <cfRule type="containsText" dxfId="8" priority="782" operator="containsText" text="3">
      <formula>NOT(ISERROR(SEARCH(("3"),(CW14))))</formula>
    </cfRule>
  </conditionalFormatting>
  <conditionalFormatting sqref="CW14:DX14 EA14:EB14">
    <cfRule type="containsText" dxfId="9" priority="783" operator="containsText" text="2">
      <formula>NOT(ISERROR(SEARCH(("2"),(CW14))))</formula>
    </cfRule>
  </conditionalFormatting>
  <conditionalFormatting sqref="CW14:DX14 EA14:EB14">
    <cfRule type="containsText" dxfId="10" priority="784" operator="containsText" text="1">
      <formula>NOT(ISERROR(SEARCH(("1"),(CW14))))</formula>
    </cfRule>
  </conditionalFormatting>
  <conditionalFormatting sqref="CW14:DX14">
    <cfRule type="containsText" dxfId="4" priority="785" operator="containsText" text="V A C A C">
      <formula>NOT(ISERROR(SEARCH(("V A C A C"),(CW14))))</formula>
    </cfRule>
  </conditionalFormatting>
  <conditionalFormatting sqref="CW14:DX14">
    <cfRule type="containsText" dxfId="4" priority="786" operator="containsText" text="VACAC">
      <formula>NOT(ISERROR(SEARCH(("VACAC"),(CW14))))</formula>
    </cfRule>
  </conditionalFormatting>
  <conditionalFormatting sqref="CW14:DX15">
    <cfRule type="containsText" dxfId="5" priority="787" operator="containsText" text="AP">
      <formula>NOT(ISERROR(SEARCH(("AP"),(CW14))))</formula>
    </cfRule>
  </conditionalFormatting>
  <conditionalFormatting sqref="CW15:DX15 EA15:EB15">
    <cfRule type="containsText" dxfId="11" priority="788" operator="containsText" text="ex">
      <formula>NOT(ISERROR(SEARCH(("ex"),(CW15))))</formula>
    </cfRule>
  </conditionalFormatting>
  <conditionalFormatting sqref="CW16:DX16">
    <cfRule type="containsText" dxfId="4" priority="789" operator="containsText" text="V A C A C">
      <formula>NOT(ISERROR(SEARCH(("V A C A C"),(CW16))))</formula>
    </cfRule>
  </conditionalFormatting>
  <conditionalFormatting sqref="CW16:DX16">
    <cfRule type="containsText" dxfId="4" priority="790" operator="containsText" text="VACAC">
      <formula>NOT(ISERROR(SEARCH(("VACAC"),(CW16))))</formula>
    </cfRule>
  </conditionalFormatting>
  <conditionalFormatting sqref="CW16:DX16">
    <cfRule type="containsText" dxfId="6" priority="791" operator="containsText" text="Ts">
      <formula>NOT(ISERROR(SEARCH(("Ts"),(CW16))))</formula>
    </cfRule>
  </conditionalFormatting>
  <conditionalFormatting sqref="CW16:DX16">
    <cfRule type="containsText" dxfId="7" priority="792" operator="containsText" text="D">
      <formula>NOT(ISERROR(SEARCH(("D"),(CW16))))</formula>
    </cfRule>
  </conditionalFormatting>
  <conditionalFormatting sqref="CW16:DX16">
    <cfRule type="containsText" dxfId="8" priority="793" operator="containsText" text="3">
      <formula>NOT(ISERROR(SEARCH(("3"),(CW16))))</formula>
    </cfRule>
  </conditionalFormatting>
  <conditionalFormatting sqref="CW16:DX16">
    <cfRule type="containsText" dxfId="9" priority="794" operator="containsText" text="2">
      <formula>NOT(ISERROR(SEARCH(("2"),(CW16))))</formula>
    </cfRule>
  </conditionalFormatting>
  <conditionalFormatting sqref="CW16:DX16">
    <cfRule type="containsText" dxfId="10" priority="795" operator="containsText" text="1">
      <formula>NOT(ISERROR(SEARCH(("1"),(CW16))))</formula>
    </cfRule>
  </conditionalFormatting>
  <conditionalFormatting sqref="CW22:DX22 EA22:EB22">
    <cfRule type="containsText" dxfId="7" priority="796" operator="containsText" text="D">
      <formula>NOT(ISERROR(SEARCH(("D"),(CW22))))</formula>
    </cfRule>
  </conditionalFormatting>
  <conditionalFormatting sqref="CW22:DX22 EA22:EB22">
    <cfRule type="containsText" dxfId="8" priority="797" operator="containsText" text="3">
      <formula>NOT(ISERROR(SEARCH(("3"),(CW22))))</formula>
    </cfRule>
  </conditionalFormatting>
  <conditionalFormatting sqref="CW22:DX22 EA22:EB22">
    <cfRule type="containsText" dxfId="9" priority="798" operator="containsText" text="2">
      <formula>NOT(ISERROR(SEARCH(("2"),(CW22))))</formula>
    </cfRule>
  </conditionalFormatting>
  <conditionalFormatting sqref="CW22:DX22 EA22:EB22">
    <cfRule type="containsText" dxfId="10" priority="799" operator="containsText" text="1">
      <formula>NOT(ISERROR(SEARCH(("1"),(CW22))))</formula>
    </cfRule>
  </conditionalFormatting>
  <conditionalFormatting sqref="CW22:DX22 EA22:EE22">
    <cfRule type="containsText" dxfId="6" priority="800" operator="containsText" text="Ts">
      <formula>NOT(ISERROR(SEARCH(("Ts"),(CW22))))</formula>
    </cfRule>
  </conditionalFormatting>
  <conditionalFormatting sqref="CW22:DX22">
    <cfRule type="containsText" dxfId="4" priority="801" operator="containsText" text="V A C A C">
      <formula>NOT(ISERROR(SEARCH(("V A C A C"),(CW22))))</formula>
    </cfRule>
  </conditionalFormatting>
  <conditionalFormatting sqref="CW22:DX22">
    <cfRule type="containsText" dxfId="4" priority="802" operator="containsText" text="VACAC">
      <formula>NOT(ISERROR(SEARCH(("VACAC"),(CW22))))</formula>
    </cfRule>
  </conditionalFormatting>
  <conditionalFormatting sqref="CW22:DX22">
    <cfRule type="containsText" dxfId="5" priority="803" operator="containsText" text="AP">
      <formula>NOT(ISERROR(SEARCH(("AP"),(CW22))))</formula>
    </cfRule>
  </conditionalFormatting>
  <conditionalFormatting sqref="CW23:DX23">
    <cfRule type="containsText" dxfId="11" priority="804" operator="containsText" text="ex">
      <formula>NOT(ISERROR(SEARCH(("ex"),(CW23))))</formula>
    </cfRule>
  </conditionalFormatting>
  <conditionalFormatting sqref="CW23:DX23">
    <cfRule type="containsText" dxfId="5" priority="805" operator="containsText" text="AP">
      <formula>NOT(ISERROR(SEARCH(("AP"),(CW23))))</formula>
    </cfRule>
  </conditionalFormatting>
  <conditionalFormatting sqref="CW25:DX25">
    <cfRule type="containsText" dxfId="5" priority="806" operator="containsText" text="AP">
      <formula>NOT(ISERROR(SEARCH(("AP"),(CW25))))</formula>
    </cfRule>
  </conditionalFormatting>
  <conditionalFormatting sqref="CW29:DX29">
    <cfRule type="containsText" dxfId="11" priority="807" operator="containsText" text="ex">
      <formula>NOT(ISERROR(SEARCH(("ex"),(CW29))))</formula>
    </cfRule>
  </conditionalFormatting>
  <conditionalFormatting sqref="CW29:DX29">
    <cfRule type="containsText" dxfId="5" priority="808" operator="containsText" text="AP">
      <formula>NOT(ISERROR(SEARCH(("AP"),(CW29))))</formula>
    </cfRule>
  </conditionalFormatting>
  <conditionalFormatting sqref="CW31:DX31">
    <cfRule type="containsText" dxfId="11" priority="809" operator="containsText" text="ex">
      <formula>NOT(ISERROR(SEARCH(("ex"),(CW31))))</formula>
    </cfRule>
  </conditionalFormatting>
  <conditionalFormatting sqref="CW31:DX31">
    <cfRule type="containsText" dxfId="5" priority="810" operator="containsText" text="AP">
      <formula>NOT(ISERROR(SEARCH(("AP"),(CW31))))</formula>
    </cfRule>
  </conditionalFormatting>
  <conditionalFormatting sqref="CW32:DX32">
    <cfRule type="containsText" dxfId="4" priority="811" operator="containsText" text="V A C A C">
      <formula>NOT(ISERROR(SEARCH(("V A C A C"),(CW32))))</formula>
    </cfRule>
  </conditionalFormatting>
  <conditionalFormatting sqref="CW32:DX32">
    <cfRule type="containsText" dxfId="4" priority="812" operator="containsText" text="VACAC">
      <formula>NOT(ISERROR(SEARCH(("VACAC"),(CW32))))</formula>
    </cfRule>
  </conditionalFormatting>
  <conditionalFormatting sqref="CW32:DX32">
    <cfRule type="containsText" dxfId="6" priority="813" operator="containsText" text="Ts">
      <formula>NOT(ISERROR(SEARCH(("Ts"),(CW32))))</formula>
    </cfRule>
  </conditionalFormatting>
  <conditionalFormatting sqref="CW32:DX32">
    <cfRule type="containsText" dxfId="7" priority="814" operator="containsText" text="D">
      <formula>NOT(ISERROR(SEARCH(("D"),(CW32))))</formula>
    </cfRule>
  </conditionalFormatting>
  <conditionalFormatting sqref="CW32:DX32">
    <cfRule type="containsText" dxfId="8" priority="815" operator="containsText" text="3">
      <formula>NOT(ISERROR(SEARCH(("3"),(CW32))))</formula>
    </cfRule>
  </conditionalFormatting>
  <conditionalFormatting sqref="CW32:DX32">
    <cfRule type="containsText" dxfId="9" priority="816" operator="containsText" text="2">
      <formula>NOT(ISERROR(SEARCH(("2"),(CW32))))</formula>
    </cfRule>
  </conditionalFormatting>
  <conditionalFormatting sqref="CW32:DX32">
    <cfRule type="containsText" dxfId="10" priority="817" operator="containsText" text="1">
      <formula>NOT(ISERROR(SEARCH(("1"),(CW32))))</formula>
    </cfRule>
  </conditionalFormatting>
  <conditionalFormatting sqref="CW33:DX33">
    <cfRule type="containsText" dxfId="11" priority="818" operator="containsText" text="ex">
      <formula>NOT(ISERROR(SEARCH(("ex"),(CW33))))</formula>
    </cfRule>
  </conditionalFormatting>
  <conditionalFormatting sqref="CW34:DX34 EA34:EB34">
    <cfRule type="containsText" dxfId="8" priority="819" operator="containsText" text="3">
      <formula>NOT(ISERROR(SEARCH(("3"),(CW34))))</formula>
    </cfRule>
  </conditionalFormatting>
  <conditionalFormatting sqref="CW34:DX34 EA34:EB34">
    <cfRule type="containsText" dxfId="9" priority="820" operator="containsText" text="2">
      <formula>NOT(ISERROR(SEARCH(("2"),(CW34))))</formula>
    </cfRule>
  </conditionalFormatting>
  <conditionalFormatting sqref="CW34:DX34 EA34:EB34">
    <cfRule type="containsText" dxfId="10" priority="821" operator="containsText" text="1">
      <formula>NOT(ISERROR(SEARCH(("1"),(CW34))))</formula>
    </cfRule>
  </conditionalFormatting>
  <conditionalFormatting sqref="CW34:DX34">
    <cfRule type="containsText" dxfId="4" priority="822" operator="containsText" text="V A C A C">
      <formula>NOT(ISERROR(SEARCH(("V A C A C"),(CW34))))</formula>
    </cfRule>
  </conditionalFormatting>
  <conditionalFormatting sqref="CW34:DX34">
    <cfRule type="containsText" dxfId="4" priority="823" operator="containsText" text="VACAC">
      <formula>NOT(ISERROR(SEARCH(("VACAC"),(CW34))))</formula>
    </cfRule>
  </conditionalFormatting>
  <conditionalFormatting sqref="CW34:DX34">
    <cfRule type="containsText" dxfId="6" priority="824" operator="containsText" text="Ts">
      <formula>NOT(ISERROR(SEARCH(("Ts"),(CW34))))</formula>
    </cfRule>
  </conditionalFormatting>
  <conditionalFormatting sqref="CW34:DX34">
    <cfRule type="containsText" dxfId="7" priority="825" operator="containsText" text="D">
      <formula>NOT(ISERROR(SEARCH(("D"),(CW34))))</formula>
    </cfRule>
  </conditionalFormatting>
  <conditionalFormatting sqref="CW35:DX35">
    <cfRule type="containsText" dxfId="11" priority="826" operator="containsText" text="ex">
      <formula>NOT(ISERROR(SEARCH(("ex"),(CW35))))</formula>
    </cfRule>
  </conditionalFormatting>
  <conditionalFormatting sqref="CW36:DX36 EA36:FB36 FE36:GM36 GP36:HQ36 HT36:IU36 IX36:KF36 KI36:LJ36 LM36:MN36 MQ36:NY36 OB36:OC36">
    <cfRule type="containsText" dxfId="4" priority="827" operator="containsText" text="V A C A C">
      <formula>NOT(ISERROR(SEARCH(("V A C A C"),(CW36))))</formula>
    </cfRule>
  </conditionalFormatting>
  <conditionalFormatting sqref="CW36:DX36 EA36:FB36 FE36:GM36 GP36:HQ36 HT36:IU36 IX36:KF36 KI36:LJ36 LM36:MN36 MQ36:NY36 OB36:OC36">
    <cfRule type="containsText" dxfId="4" priority="828" operator="containsText" text="VACAC">
      <formula>NOT(ISERROR(SEARCH(("VACAC"),(CW36))))</formula>
    </cfRule>
  </conditionalFormatting>
  <conditionalFormatting sqref="CW36:DX36 EA36:FB36 FE36:GM36 GP36:HQ36 HT36:IU36 IX36:KF36 KI36:LJ36 LM36:MN36 MQ36:NY36 OB36:OC36">
    <cfRule type="containsText" dxfId="5" priority="829" operator="containsText" text="AP">
      <formula>NOT(ISERROR(SEARCH(("AP"),(CW36))))</formula>
    </cfRule>
  </conditionalFormatting>
  <conditionalFormatting sqref="CW36:DX36 EA36:FB36 FE36:GM36 GP36:HQ36 HT36:IU36 IX36:KF36 KI36:LJ36 LM36:MN36 MQ36:NY36 OB36:OC36">
    <cfRule type="containsText" dxfId="6" priority="830" operator="containsText" text="Ts">
      <formula>NOT(ISERROR(SEARCH(("Ts"),(CW36))))</formula>
    </cfRule>
  </conditionalFormatting>
  <conditionalFormatting sqref="CW36:DX36 EA36:FB36 FE36:GM36 GP36:HQ36 HT36:IU36 IX36:KF36 KI36:LJ36 LM36:MN36 MQ36:NY36 OB36:OC36">
    <cfRule type="containsText" dxfId="7" priority="831" operator="containsText" text="D">
      <formula>NOT(ISERROR(SEARCH(("D"),(CW36))))</formula>
    </cfRule>
  </conditionalFormatting>
  <conditionalFormatting sqref="CW36:DX36 EA36:FB36 FE36:GM36 GP36:HQ36 HT36:IU36 IX36:KF36 KI36:LJ36 LM36:MN36 MQ36:NY36 OB36:OC36">
    <cfRule type="containsText" dxfId="8" priority="832" operator="containsText" text="3">
      <formula>NOT(ISERROR(SEARCH(("3"),(CW36))))</formula>
    </cfRule>
  </conditionalFormatting>
  <conditionalFormatting sqref="CW36:DX36 EA36:FB36 FE36:GM36 GP36:HQ36 HT36:IU36 IX36:KF36 KI36:LJ36 LM36:MN36 MQ36:NY36 OB36:OC36">
    <cfRule type="containsText" dxfId="9" priority="833" operator="containsText" text="2">
      <formula>NOT(ISERROR(SEARCH(("2"),(CW36))))</formula>
    </cfRule>
  </conditionalFormatting>
  <conditionalFormatting sqref="CW36:DX36 EA36:FB36 FE36:GM36 GP36:HQ36 HT36:IU36 IX36:KF36 KI36:LJ36 LM36:MN36 MQ36:NY36 OB36:OC36">
    <cfRule type="containsText" dxfId="10" priority="834" operator="containsText" text="1">
      <formula>NOT(ISERROR(SEARCH(("1"),(CW36))))</formula>
    </cfRule>
  </conditionalFormatting>
  <conditionalFormatting sqref="CZ8:DX8 CZ10:DF10 DH10:DX10">
    <cfRule type="containsText" dxfId="5" priority="835" operator="containsText" text="AP">
      <formula>NOT(ISERROR(SEARCH(("AP"),(CZ8))))</formula>
    </cfRule>
  </conditionalFormatting>
  <conditionalFormatting sqref="CZ10:DF10 DH10:DX10">
    <cfRule type="containsText" dxfId="6" priority="836" operator="containsText" text="Ts">
      <formula>NOT(ISERROR(SEARCH(("Ts"),(CZ10))))</formula>
    </cfRule>
  </conditionalFormatting>
  <conditionalFormatting sqref="CZ10:DF10 DH10:DX10">
    <cfRule type="containsText" dxfId="7" priority="837" operator="containsText" text="D">
      <formula>NOT(ISERROR(SEARCH(("D"),(CZ10))))</formula>
    </cfRule>
  </conditionalFormatting>
  <conditionalFormatting sqref="CZ10:DF10 DH10:DX10">
    <cfRule type="containsText" dxfId="8" priority="838" operator="containsText" text="3">
      <formula>NOT(ISERROR(SEARCH(("3"),(CZ10))))</formula>
    </cfRule>
  </conditionalFormatting>
  <conditionalFormatting sqref="CZ10:DF10 DH10:DX10">
    <cfRule type="containsText" dxfId="9" priority="839" operator="containsText" text="2">
      <formula>NOT(ISERROR(SEARCH(("2"),(CZ10))))</formula>
    </cfRule>
  </conditionalFormatting>
  <conditionalFormatting sqref="CZ10:DF10 DH10:DX10">
    <cfRule type="containsText" dxfId="10" priority="840" operator="containsText" text="1">
      <formula>NOT(ISERROR(SEARCH(("1"),(CZ10))))</formula>
    </cfRule>
  </conditionalFormatting>
  <conditionalFormatting sqref="CZ6:DK6">
    <cfRule type="containsText" dxfId="10" priority="841" operator="containsText" text="L">
      <formula>NOT(ISERROR(SEARCH(("L"),(CZ6))))</formula>
    </cfRule>
  </conditionalFormatting>
  <conditionalFormatting sqref="CZ6:DX6 EA32">
    <cfRule type="containsText" dxfId="7" priority="842" operator="containsText" text="D">
      <formula>NOT(ISERROR(SEARCH(("D"),(CZ6))))</formula>
    </cfRule>
  </conditionalFormatting>
  <conditionalFormatting sqref="CZ8:DX8 EA8:EB8">
    <cfRule type="containsText" dxfId="6" priority="843" operator="containsText" text="Ts">
      <formula>NOT(ISERROR(SEARCH(("Ts"),(CZ8))))</formula>
    </cfRule>
  </conditionalFormatting>
  <conditionalFormatting sqref="CZ8:DX8 EA8:EB8">
    <cfRule type="containsText" dxfId="7" priority="844" operator="containsText" text="D">
      <formula>NOT(ISERROR(SEARCH(("D"),(CZ8))))</formula>
    </cfRule>
  </conditionalFormatting>
  <conditionalFormatting sqref="CZ8:DX8 EA8:EB8">
    <cfRule type="containsText" dxfId="8" priority="845" operator="containsText" text="3">
      <formula>NOT(ISERROR(SEARCH(("3"),(CZ8))))</formula>
    </cfRule>
  </conditionalFormatting>
  <conditionalFormatting sqref="CZ8:DX8 EA8:EB8">
    <cfRule type="containsText" dxfId="9" priority="846" operator="containsText" text="2">
      <formula>NOT(ISERROR(SEARCH(("2"),(CZ8))))</formula>
    </cfRule>
  </conditionalFormatting>
  <conditionalFormatting sqref="CZ8:DX8 EA8:EB8">
    <cfRule type="containsText" dxfId="10" priority="847" operator="containsText" text="1">
      <formula>NOT(ISERROR(SEARCH(("1"),(CZ8))))</formula>
    </cfRule>
  </conditionalFormatting>
  <conditionalFormatting sqref="CW18 CZ18:DX18">
    <cfRule type="containsText" dxfId="4" priority="848" operator="containsText" text="V A C A C">
      <formula>NOT(ISERROR(SEARCH(("V A C A C"),(CW18))))</formula>
    </cfRule>
  </conditionalFormatting>
  <conditionalFormatting sqref="CW18 CZ18:DX18">
    <cfRule type="containsText" dxfId="4" priority="849" operator="containsText" text="VACAC">
      <formula>NOT(ISERROR(SEARCH(("VACAC"),(CW18))))</formula>
    </cfRule>
  </conditionalFormatting>
  <conditionalFormatting sqref="CZ18:DX18 EA18:EB18">
    <cfRule type="containsText" dxfId="10" priority="850" operator="containsText" text="1">
      <formula>NOT(ISERROR(SEARCH(("1"),(CZ18))))</formula>
    </cfRule>
  </conditionalFormatting>
  <conditionalFormatting sqref="CZ18:DX18">
    <cfRule type="containsText" dxfId="6" priority="851" operator="containsText" text="Ts">
      <formula>NOT(ISERROR(SEARCH(("Ts"),(CZ18))))</formula>
    </cfRule>
  </conditionalFormatting>
  <conditionalFormatting sqref="CZ18:DX18">
    <cfRule type="containsText" dxfId="7" priority="852" operator="containsText" text="D">
      <formula>NOT(ISERROR(SEARCH(("D"),(CZ18))))</formula>
    </cfRule>
  </conditionalFormatting>
  <conditionalFormatting sqref="CZ18:DX18">
    <cfRule type="containsText" dxfId="8" priority="853" operator="containsText" text="3">
      <formula>NOT(ISERROR(SEARCH(("3"),(CZ18))))</formula>
    </cfRule>
  </conditionalFormatting>
  <conditionalFormatting sqref="CZ18:DX18">
    <cfRule type="containsText" dxfId="9" priority="854" operator="containsText" text="2">
      <formula>NOT(ISERROR(SEARCH(("2"),(CZ18))))</formula>
    </cfRule>
  </conditionalFormatting>
  <conditionalFormatting sqref="CW8:CX8 CW26:CX26 CZ8:DX8 CZ26:DX26">
    <cfRule type="containsText" dxfId="4" priority="855" operator="containsText" text="V A C A C">
      <formula>NOT(ISERROR(SEARCH(("V A C A C"),(CW8))))</formula>
    </cfRule>
  </conditionalFormatting>
  <conditionalFormatting sqref="CW8:CX8 CW26:CX26 CZ8:DX8 CZ26:DX26">
    <cfRule type="containsText" dxfId="4" priority="856" operator="containsText" text="VACAC">
      <formula>NOT(ISERROR(SEARCH(("VACAC"),(CW8))))</formula>
    </cfRule>
  </conditionalFormatting>
  <conditionalFormatting sqref="CW26:CX26 CZ26:DX26 EA26:EB26">
    <cfRule type="containsText" dxfId="6" priority="857" operator="containsText" text="Ts">
      <formula>NOT(ISERROR(SEARCH(("Ts"),(CW26))))</formula>
    </cfRule>
  </conditionalFormatting>
  <conditionalFormatting sqref="CZ30:DX30">
    <cfRule type="containsText" dxfId="4" priority="858" operator="containsText" text="V A C A C">
      <formula>NOT(ISERROR(SEARCH(("V A C A C"),(CZ30))))</formula>
    </cfRule>
  </conditionalFormatting>
  <conditionalFormatting sqref="CZ30:DX30">
    <cfRule type="containsText" dxfId="4" priority="859" operator="containsText" text="VACAC">
      <formula>NOT(ISERROR(SEARCH(("VACAC"),(CZ30))))</formula>
    </cfRule>
  </conditionalFormatting>
  <conditionalFormatting sqref="CZ30:DX30">
    <cfRule type="containsText" dxfId="5" priority="860" operator="containsText" text="AP">
      <formula>NOT(ISERROR(SEARCH(("AP"),(CZ30))))</formula>
    </cfRule>
  </conditionalFormatting>
  <conditionalFormatting sqref="CZ30:DX30">
    <cfRule type="containsText" dxfId="6" priority="861" operator="containsText" text="Ts">
      <formula>NOT(ISERROR(SEARCH(("Ts"),(CZ30))))</formula>
    </cfRule>
  </conditionalFormatting>
  <conditionalFormatting sqref="CZ30:DX30">
    <cfRule type="containsText" dxfId="7" priority="862" operator="containsText" text="D">
      <formula>NOT(ISERROR(SEARCH(("D"),(CZ30))))</formula>
    </cfRule>
  </conditionalFormatting>
  <conditionalFormatting sqref="CZ30:DX30">
    <cfRule type="containsText" dxfId="8" priority="863" operator="containsText" text="3">
      <formula>NOT(ISERROR(SEARCH(("3"),(CZ30))))</formula>
    </cfRule>
  </conditionalFormatting>
  <conditionalFormatting sqref="CZ30:DX30">
    <cfRule type="containsText" dxfId="9" priority="864" operator="containsText" text="2">
      <formula>NOT(ISERROR(SEARCH(("2"),(CZ30))))</formula>
    </cfRule>
  </conditionalFormatting>
  <conditionalFormatting sqref="CZ30:DX30">
    <cfRule type="containsText" dxfId="10" priority="865" operator="containsText" text="1">
      <formula>NOT(ISERROR(SEARCH(("1"),(CZ30))))</formula>
    </cfRule>
  </conditionalFormatting>
  <conditionalFormatting sqref="DA17:DX17">
    <cfRule type="containsText" dxfId="5" priority="866" operator="containsText" text="AP">
      <formula>NOT(ISERROR(SEARCH(("AP"),(DA17))))</formula>
    </cfRule>
  </conditionalFormatting>
  <conditionalFormatting sqref="CW20 DA20:DX20">
    <cfRule type="containsText" dxfId="4" priority="867" operator="containsText" text="V A C A C">
      <formula>NOT(ISERROR(SEARCH(("V A C A C"),(CW20))))</formula>
    </cfRule>
  </conditionalFormatting>
  <conditionalFormatting sqref="CW20 DA20:DX20">
    <cfRule type="containsText" dxfId="4" priority="868" operator="containsText" text="VACAC">
      <formula>NOT(ISERROR(SEARCH(("VACAC"),(CW20))))</formula>
    </cfRule>
  </conditionalFormatting>
  <conditionalFormatting sqref="DA20:DX20">
    <cfRule type="containsText" dxfId="6" priority="869" operator="containsText" text="Ts">
      <formula>NOT(ISERROR(SEARCH(("Ts"),(DA20))))</formula>
    </cfRule>
  </conditionalFormatting>
  <conditionalFormatting sqref="DA20:DX20">
    <cfRule type="containsText" dxfId="7" priority="870" operator="containsText" text="D">
      <formula>NOT(ISERROR(SEARCH(("D"),(DA20))))</formula>
    </cfRule>
  </conditionalFormatting>
  <conditionalFormatting sqref="DA20:DX20">
    <cfRule type="containsText" dxfId="8" priority="871" operator="containsText" text="3">
      <formula>NOT(ISERROR(SEARCH(("3"),(DA20))))</formula>
    </cfRule>
  </conditionalFormatting>
  <conditionalFormatting sqref="DA20:DX20">
    <cfRule type="containsText" dxfId="9" priority="872" operator="containsText" text="2">
      <formula>NOT(ISERROR(SEARCH(("2"),(DA20))))</formula>
    </cfRule>
  </conditionalFormatting>
  <conditionalFormatting sqref="DA20:DX20">
    <cfRule type="containsText" dxfId="10" priority="873" operator="containsText" text="1">
      <formula>NOT(ISERROR(SEARCH(("1"),(DA20))))</formula>
    </cfRule>
  </conditionalFormatting>
  <conditionalFormatting sqref="CW27:DF27 DH7 EA27:EB27">
    <cfRule type="containsText" dxfId="11" priority="874" operator="containsText" text="ex">
      <formula>NOT(ISERROR(SEARCH(("ex"),(CW27))))</formula>
    </cfRule>
  </conditionalFormatting>
  <conditionalFormatting sqref="DH34">
    <cfRule type="containsText" dxfId="4" priority="875" operator="containsText" text="V A C A C">
      <formula>NOT(ISERROR(SEARCH(("V A C A C"),(DH34))))</formula>
    </cfRule>
  </conditionalFormatting>
  <conditionalFormatting sqref="DH34">
    <cfRule type="containsText" dxfId="4" priority="876" operator="containsText" text="VACAC">
      <formula>NOT(ISERROR(SEARCH(("VACAC"),(DH34))))</formula>
    </cfRule>
  </conditionalFormatting>
  <conditionalFormatting sqref="DH34">
    <cfRule type="containsText" dxfId="5" priority="877" operator="containsText" text="AP">
      <formula>NOT(ISERROR(SEARCH(("AP"),(DH34))))</formula>
    </cfRule>
  </conditionalFormatting>
  <conditionalFormatting sqref="DH34">
    <cfRule type="containsText" dxfId="6" priority="878" operator="containsText" text="Ts">
      <formula>NOT(ISERROR(SEARCH(("Ts"),(DH34))))</formula>
    </cfRule>
  </conditionalFormatting>
  <conditionalFormatting sqref="DH34">
    <cfRule type="containsText" dxfId="8" priority="879" operator="containsText" text="3">
      <formula>NOT(ISERROR(SEARCH(("3"),(DH34))))</formula>
    </cfRule>
  </conditionalFormatting>
  <conditionalFormatting sqref="DH34">
    <cfRule type="containsText" dxfId="9" priority="880" operator="containsText" text="2">
      <formula>NOT(ISERROR(SEARCH(("2"),(DH34))))</formula>
    </cfRule>
  </conditionalFormatting>
  <conditionalFormatting sqref="DH34">
    <cfRule type="containsText" dxfId="10" priority="881" operator="containsText" text="1">
      <formula>NOT(ISERROR(SEARCH(("1"),(DH34))))</formula>
    </cfRule>
  </conditionalFormatting>
  <conditionalFormatting sqref="DH36">
    <cfRule type="containsText" dxfId="4" priority="882" operator="containsText" text="V A C A C">
      <formula>NOT(ISERROR(SEARCH(("V A C A C"),(DH36))))</formula>
    </cfRule>
  </conditionalFormatting>
  <conditionalFormatting sqref="DH36">
    <cfRule type="containsText" dxfId="4" priority="883" operator="containsText" text="VACAC">
      <formula>NOT(ISERROR(SEARCH(("VACAC"),(DH36))))</formula>
    </cfRule>
  </conditionalFormatting>
  <conditionalFormatting sqref="DH36">
    <cfRule type="containsText" dxfId="5" priority="884" operator="containsText" text="AP">
      <formula>NOT(ISERROR(SEARCH(("AP"),(DH36))))</formula>
    </cfRule>
  </conditionalFormatting>
  <conditionalFormatting sqref="DH36">
    <cfRule type="containsText" dxfId="6" priority="885" operator="containsText" text="Ts">
      <formula>NOT(ISERROR(SEARCH(("Ts"),(DH36))))</formula>
    </cfRule>
  </conditionalFormatting>
  <conditionalFormatting sqref="DH36">
    <cfRule type="containsText" dxfId="8" priority="886" operator="containsText" text="3">
      <formula>NOT(ISERROR(SEARCH(("3"),(DH36))))</formula>
    </cfRule>
  </conditionalFormatting>
  <conditionalFormatting sqref="DH36">
    <cfRule type="containsText" dxfId="9" priority="887" operator="containsText" text="2">
      <formula>NOT(ISERROR(SEARCH(("2"),(DH36))))</formula>
    </cfRule>
  </conditionalFormatting>
  <conditionalFormatting sqref="DH36">
    <cfRule type="containsText" dxfId="10" priority="888" operator="containsText" text="1">
      <formula>NOT(ISERROR(SEARCH(("1"),(DH36))))</formula>
    </cfRule>
  </conditionalFormatting>
  <conditionalFormatting sqref="DH20:DJ20">
    <cfRule type="containsText" dxfId="4" priority="889" operator="containsText" text="V A C A C">
      <formula>NOT(ISERROR(SEARCH(("V A C A C"),(DH20))))</formula>
    </cfRule>
  </conditionalFormatting>
  <conditionalFormatting sqref="DH20:DJ20">
    <cfRule type="containsText" dxfId="4" priority="890" operator="containsText" text="VACAC">
      <formula>NOT(ISERROR(SEARCH(("VACAC"),(DH20))))</formula>
    </cfRule>
  </conditionalFormatting>
  <conditionalFormatting sqref="DH20:DJ20">
    <cfRule type="containsText" dxfId="6" priority="891" operator="containsText" text="Ts">
      <formula>NOT(ISERROR(SEARCH(("Ts"),(DH20))))</formula>
    </cfRule>
  </conditionalFormatting>
  <conditionalFormatting sqref="DH20:DJ20">
    <cfRule type="containsText" dxfId="7" priority="892" operator="containsText" text="D">
      <formula>NOT(ISERROR(SEARCH(("D"),(DH20))))</formula>
    </cfRule>
  </conditionalFormatting>
  <conditionalFormatting sqref="DH20:DJ20">
    <cfRule type="containsText" dxfId="8" priority="893" operator="containsText" text="3">
      <formula>NOT(ISERROR(SEARCH(("3"),(DH20))))</formula>
    </cfRule>
  </conditionalFormatting>
  <conditionalFormatting sqref="DH20:DJ20">
    <cfRule type="containsText" dxfId="9" priority="894" operator="containsText" text="2">
      <formula>NOT(ISERROR(SEARCH(("2"),(DH20))))</formula>
    </cfRule>
  </conditionalFormatting>
  <conditionalFormatting sqref="DH20:DJ20">
    <cfRule type="containsText" dxfId="10" priority="895" operator="containsText" text="1">
      <formula>NOT(ISERROR(SEARCH(("1"),(DH20))))</formula>
    </cfRule>
  </conditionalFormatting>
  <conditionalFormatting sqref="DH24:DN24 DR24:DX24 EA24:EB24">
    <cfRule type="containsText" dxfId="9" priority="896" operator="containsText" text="2">
      <formula>NOT(ISERROR(SEARCH(("2"),(DH24))))</formula>
    </cfRule>
  </conditionalFormatting>
  <conditionalFormatting sqref="DH24:DN24 DR24:DX24 EA24:EB24">
    <cfRule type="containsText" dxfId="10" priority="897" operator="containsText" text="1">
      <formula>NOT(ISERROR(SEARCH(("1"),(DH24))))</formula>
    </cfRule>
  </conditionalFormatting>
  <conditionalFormatting sqref="DH12:DX12 EA12:EB12">
    <cfRule type="containsText" dxfId="7" priority="898" operator="containsText" text="D">
      <formula>NOT(ISERROR(SEARCH(("D"),(DH12))))</formula>
    </cfRule>
  </conditionalFormatting>
  <conditionalFormatting sqref="DH12:DX12 EA12:EB12">
    <cfRule type="containsText" dxfId="8" priority="899" operator="containsText" text="3">
      <formula>NOT(ISERROR(SEARCH(("3"),(DH12))))</formula>
    </cfRule>
  </conditionalFormatting>
  <conditionalFormatting sqref="DH12:DX12 EA12:EB12">
    <cfRule type="containsText" dxfId="9" priority="900" operator="containsText" text="2">
      <formula>NOT(ISERROR(SEARCH(("2"),(DH12))))</formula>
    </cfRule>
  </conditionalFormatting>
  <conditionalFormatting sqref="DH12:DX12 EA12:EB12">
    <cfRule type="containsText" dxfId="10" priority="901" operator="containsText" text="1">
      <formula>NOT(ISERROR(SEARCH(("1"),(DH12))))</formula>
    </cfRule>
  </conditionalFormatting>
  <conditionalFormatting sqref="DH12:DX12">
    <cfRule type="containsText" dxfId="4" priority="902" operator="containsText" text="V A C A C">
      <formula>NOT(ISERROR(SEARCH(("V A C A C"),(DH12))))</formula>
    </cfRule>
  </conditionalFormatting>
  <conditionalFormatting sqref="DH12:DX12">
    <cfRule type="containsText" dxfId="4" priority="903" operator="containsText" text="VACAC">
      <formula>NOT(ISERROR(SEARCH(("VACAC"),(DH12))))</formula>
    </cfRule>
  </conditionalFormatting>
  <conditionalFormatting sqref="DH12:DX12">
    <cfRule type="containsText" dxfId="5" priority="904" operator="containsText" text="AP">
      <formula>NOT(ISERROR(SEARCH(("AP"),(DH12))))</formula>
    </cfRule>
  </conditionalFormatting>
  <conditionalFormatting sqref="DH24:DX24">
    <cfRule type="containsText" dxfId="5" priority="905" operator="containsText" text="AP">
      <formula>NOT(ISERROR(SEARCH(("AP"),(DH24))))</formula>
    </cfRule>
  </conditionalFormatting>
  <conditionalFormatting sqref="DH24:DX24">
    <cfRule type="containsText" dxfId="6" priority="906" operator="containsText" text="Ts">
      <formula>NOT(ISERROR(SEARCH(("Ts"),(DH24))))</formula>
    </cfRule>
  </conditionalFormatting>
  <conditionalFormatting sqref="DH24:DX24">
    <cfRule type="containsText" dxfId="4" priority="907" operator="containsText" text="V A C A C">
      <formula>NOT(ISERROR(SEARCH(("V A C A C"),(DH24))))</formula>
    </cfRule>
  </conditionalFormatting>
  <conditionalFormatting sqref="DH24:DX24">
    <cfRule type="containsText" dxfId="4" priority="908" operator="containsText" text="VACAC">
      <formula>NOT(ISERROR(SEARCH(("VACAC"),(DH24))))</formula>
    </cfRule>
  </conditionalFormatting>
  <conditionalFormatting sqref="DH24:DX24">
    <cfRule type="containsText" dxfId="7" priority="909" operator="containsText" text="D">
      <formula>NOT(ISERROR(SEARCH(("D"),(DH24))))</formula>
    </cfRule>
  </conditionalFormatting>
  <conditionalFormatting sqref="DH34:DX34 EA34:EB34">
    <cfRule type="containsText" dxfId="7" priority="910" operator="containsText" text="D">
      <formula>NOT(ISERROR(SEARCH(("D"),(DH34))))</formula>
    </cfRule>
  </conditionalFormatting>
  <conditionalFormatting sqref="DH34:DX34 EA34:EB34">
    <cfRule type="containsText" dxfId="10" priority="911" operator="containsText" text="L">
      <formula>NOT(ISERROR(SEARCH(("L"),(DH34))))</formula>
    </cfRule>
  </conditionalFormatting>
  <conditionalFormatting sqref="DH36:DX36">
    <cfRule type="containsText" dxfId="7" priority="912" operator="containsText" text="D">
      <formula>NOT(ISERROR(SEARCH(("D"),(DH36))))</formula>
    </cfRule>
  </conditionalFormatting>
  <conditionalFormatting sqref="DH36:DX36">
    <cfRule type="containsText" dxfId="10" priority="913" operator="containsText" text="L">
      <formula>NOT(ISERROR(SEARCH(("L"),(DH36))))</formula>
    </cfRule>
  </conditionalFormatting>
  <conditionalFormatting sqref="DI27:DX27">
    <cfRule type="containsText" dxfId="11" priority="914" operator="containsText" text="ex">
      <formula>NOT(ISERROR(SEARCH(("ex"),(DI27))))</formula>
    </cfRule>
  </conditionalFormatting>
  <conditionalFormatting sqref="DL17">
    <cfRule type="containsText" dxfId="4" priority="915" operator="containsText" text="V A C A C">
      <formula>NOT(ISERROR(SEARCH(("V A C A C"),(DL17))))</formula>
    </cfRule>
  </conditionalFormatting>
  <conditionalFormatting sqref="DL17">
    <cfRule type="containsText" dxfId="4" priority="916" operator="containsText" text="VACAC">
      <formula>NOT(ISERROR(SEARCH(("VACAC"),(DL17))))</formula>
    </cfRule>
  </conditionalFormatting>
  <conditionalFormatting sqref="DL17">
    <cfRule type="containsText" dxfId="6" priority="917" operator="containsText" text="Ts">
      <formula>NOT(ISERROR(SEARCH(("Ts"),(DL17))))</formula>
    </cfRule>
  </conditionalFormatting>
  <conditionalFormatting sqref="DL17">
    <cfRule type="containsText" dxfId="7" priority="918" operator="containsText" text="D">
      <formula>NOT(ISERROR(SEARCH(("D"),(DL17))))</formula>
    </cfRule>
  </conditionalFormatting>
  <conditionalFormatting sqref="DL17">
    <cfRule type="containsText" dxfId="8" priority="919" operator="containsText" text="3">
      <formula>NOT(ISERROR(SEARCH(("3"),(DL17))))</formula>
    </cfRule>
  </conditionalFormatting>
  <conditionalFormatting sqref="DL17">
    <cfRule type="containsText" dxfId="9" priority="920" operator="containsText" text="2">
      <formula>NOT(ISERROR(SEARCH(("2"),(DL17))))</formula>
    </cfRule>
  </conditionalFormatting>
  <conditionalFormatting sqref="DL17">
    <cfRule type="containsText" dxfId="10" priority="921" operator="containsText" text="1">
      <formula>NOT(ISERROR(SEARCH(("1"),(DL17))))</formula>
    </cfRule>
  </conditionalFormatting>
  <conditionalFormatting sqref="DL6:DX6 EA6:EB6 EA32">
    <cfRule type="containsText" dxfId="4" priority="922" operator="containsText" text="V A C A C">
      <formula>NOT(ISERROR(SEARCH(("V A C A C"),(DL6))))</formula>
    </cfRule>
  </conditionalFormatting>
  <conditionalFormatting sqref="DL6:DX6 EA6:EB6 EA32">
    <cfRule type="containsText" dxfId="4" priority="923" operator="containsText" text="VACAC">
      <formula>NOT(ISERROR(SEARCH(("VACAC"),(DL6))))</formula>
    </cfRule>
  </conditionalFormatting>
  <conditionalFormatting sqref="DL6:DX6 EA6:EB6 EA32">
    <cfRule type="containsText" dxfId="5" priority="924" operator="containsText" text="AP">
      <formula>NOT(ISERROR(SEARCH(("AP"),(DL6))))</formula>
    </cfRule>
  </conditionalFormatting>
  <conditionalFormatting sqref="DL6:DX6 EA6:EB6 EA32">
    <cfRule type="containsText" dxfId="6" priority="925" operator="containsText" text="Ts">
      <formula>NOT(ISERROR(SEARCH(("Ts"),(DL6))))</formula>
    </cfRule>
  </conditionalFormatting>
  <conditionalFormatting sqref="DL6:DX6 EA6:EB6 EA32">
    <cfRule type="containsText" dxfId="8" priority="926" operator="containsText" text="3">
      <formula>NOT(ISERROR(SEARCH(("3"),(DL6))))</formula>
    </cfRule>
  </conditionalFormatting>
  <conditionalFormatting sqref="DL6:DX6 EA6:EB6 EA32">
    <cfRule type="containsText" dxfId="9" priority="927" operator="containsText" text="2">
      <formula>NOT(ISERROR(SEARCH(("2"),(DL6))))</formula>
    </cfRule>
  </conditionalFormatting>
  <conditionalFormatting sqref="DL6:DX6 EA6:EB6 EA32">
    <cfRule type="containsText" dxfId="10" priority="928" operator="containsText" text="1">
      <formula>NOT(ISERROR(SEARCH(("1"),(DL6))))</formula>
    </cfRule>
  </conditionalFormatting>
  <conditionalFormatting sqref="DI7:DJ7 DL7:DX7">
    <cfRule type="containsText" dxfId="11" priority="929" operator="containsText" text="ex">
      <formula>NOT(ISERROR(SEARCH(("ex"),(DI7))))</formula>
    </cfRule>
  </conditionalFormatting>
  <conditionalFormatting sqref="DL4:EB4">
    <cfRule type="containsText" dxfId="7" priority="930" operator="containsText" text="D">
      <formula>NOT(ISERROR(SEARCH(("D"),(DL4))))</formula>
    </cfRule>
  </conditionalFormatting>
  <conditionalFormatting sqref="DM17:DX17">
    <cfRule type="containsText" dxfId="11" priority="931" operator="containsText" text="ex">
      <formula>NOT(ISERROR(SEARCH(("ex"),(DM17))))</formula>
    </cfRule>
  </conditionalFormatting>
  <conditionalFormatting sqref="DO24:DQ24">
    <cfRule type="containsText" dxfId="8" priority="932" operator="containsText" text="3">
      <formula>NOT(ISERROR(SEARCH(("3"),(DO24))))</formula>
    </cfRule>
  </conditionalFormatting>
  <conditionalFormatting sqref="DO24:DQ24">
    <cfRule type="containsText" dxfId="9" priority="933" operator="containsText" text="2">
      <formula>NOT(ISERROR(SEARCH(("2"),(DO24))))</formula>
    </cfRule>
  </conditionalFormatting>
  <conditionalFormatting sqref="DO24:DQ24">
    <cfRule type="containsText" dxfId="10" priority="934" operator="containsText" text="1">
      <formula>NOT(ISERROR(SEARCH(("1"),(DO24))))</formula>
    </cfRule>
  </conditionalFormatting>
  <conditionalFormatting sqref="DR14">
    <cfRule type="containsText" dxfId="6" priority="935" operator="containsText" text="Ts">
      <formula>NOT(ISERROR(SEARCH(("Ts"),(DR14))))</formula>
    </cfRule>
  </conditionalFormatting>
  <conditionalFormatting sqref="DR14">
    <cfRule type="containsText" dxfId="7" priority="936" operator="containsText" text="D">
      <formula>NOT(ISERROR(SEARCH(("D"),(DR14))))</formula>
    </cfRule>
  </conditionalFormatting>
  <conditionalFormatting sqref="DR14">
    <cfRule type="containsText" dxfId="8" priority="937" operator="containsText" text="3">
      <formula>NOT(ISERROR(SEARCH(("3"),(DR14))))</formula>
    </cfRule>
  </conditionalFormatting>
  <conditionalFormatting sqref="DR14">
    <cfRule type="containsText" dxfId="9" priority="938" operator="containsText" text="2">
      <formula>NOT(ISERROR(SEARCH(("2"),(DR14))))</formula>
    </cfRule>
  </conditionalFormatting>
  <conditionalFormatting sqref="DR14">
    <cfRule type="containsText" dxfId="10" priority="939" operator="containsText" text="1">
      <formula>NOT(ISERROR(SEARCH(("1"),(DR14))))</formula>
    </cfRule>
  </conditionalFormatting>
  <conditionalFormatting sqref="DR20:DT20">
    <cfRule type="containsText" dxfId="4" priority="940" operator="containsText" text="V A C A C">
      <formula>NOT(ISERROR(SEARCH(("V A C A C"),(DR20))))</formula>
    </cfRule>
  </conditionalFormatting>
  <conditionalFormatting sqref="DR20:DT20">
    <cfRule type="containsText" dxfId="4" priority="941" operator="containsText" text="VACAC">
      <formula>NOT(ISERROR(SEARCH(("VACAC"),(DR20))))</formula>
    </cfRule>
  </conditionalFormatting>
  <conditionalFormatting sqref="DR20:DT20">
    <cfRule type="containsText" dxfId="6" priority="942" operator="containsText" text="Ts">
      <formula>NOT(ISERROR(SEARCH(("Ts"),(DR20))))</formula>
    </cfRule>
  </conditionalFormatting>
  <conditionalFormatting sqref="DR20:DT20">
    <cfRule type="containsText" dxfId="7" priority="943" operator="containsText" text="D">
      <formula>NOT(ISERROR(SEARCH(("D"),(DR20))))</formula>
    </cfRule>
  </conditionalFormatting>
  <conditionalFormatting sqref="DR20:DT20">
    <cfRule type="containsText" dxfId="8" priority="944" operator="containsText" text="3">
      <formula>NOT(ISERROR(SEARCH(("3"),(DR20))))</formula>
    </cfRule>
  </conditionalFormatting>
  <conditionalFormatting sqref="DR20:DT20">
    <cfRule type="containsText" dxfId="9" priority="945" operator="containsText" text="2">
      <formula>NOT(ISERROR(SEARCH(("2"),(DR20))))</formula>
    </cfRule>
  </conditionalFormatting>
  <conditionalFormatting sqref="DR20:DT20">
    <cfRule type="containsText" dxfId="10" priority="946" operator="containsText" text="1">
      <formula>NOT(ISERROR(SEARCH(("1"),(DR20))))</formula>
    </cfRule>
  </conditionalFormatting>
  <conditionalFormatting sqref="DV22:DX22">
    <cfRule type="containsText" dxfId="4" priority="947" operator="containsText" text="V A C A C">
      <formula>NOT(ISERROR(SEARCH(("V A C A C"),(DV22))))</formula>
    </cfRule>
  </conditionalFormatting>
  <conditionalFormatting sqref="DV22:DX22">
    <cfRule type="containsText" dxfId="4" priority="948" operator="containsText" text="VACAC">
      <formula>NOT(ISERROR(SEARCH(("VACAC"),(DV22))))</formula>
    </cfRule>
  </conditionalFormatting>
  <conditionalFormatting sqref="DV22:DX22">
    <cfRule type="containsText" dxfId="6" priority="949" operator="containsText" text="Ts">
      <formula>NOT(ISERROR(SEARCH(("Ts"),(DV22))))</formula>
    </cfRule>
  </conditionalFormatting>
  <conditionalFormatting sqref="DV22:DX22">
    <cfRule type="containsText" dxfId="7" priority="950" operator="containsText" text="D">
      <formula>NOT(ISERROR(SEARCH(("D"),(DV22))))</formula>
    </cfRule>
  </conditionalFormatting>
  <conditionalFormatting sqref="DV22:DX22">
    <cfRule type="containsText" dxfId="8" priority="951" operator="containsText" text="3">
      <formula>NOT(ISERROR(SEARCH(("3"),(DV22))))</formula>
    </cfRule>
  </conditionalFormatting>
  <conditionalFormatting sqref="DV22:DX22">
    <cfRule type="containsText" dxfId="9" priority="952" operator="containsText" text="2">
      <formula>NOT(ISERROR(SEARCH(("2"),(DV22))))</formula>
    </cfRule>
  </conditionalFormatting>
  <conditionalFormatting sqref="DV22:DX22">
    <cfRule type="containsText" dxfId="10" priority="953" operator="containsText" text="1">
      <formula>NOT(ISERROR(SEARCH(("1"),(DV22))))</formula>
    </cfRule>
  </conditionalFormatting>
  <conditionalFormatting sqref="DV26:DX26">
    <cfRule type="containsText" dxfId="4" priority="954" operator="containsText" text="V A C A C">
      <formula>NOT(ISERROR(SEARCH(("V A C A C"),(DV26))))</formula>
    </cfRule>
  </conditionalFormatting>
  <conditionalFormatting sqref="DV26:DX26">
    <cfRule type="containsText" dxfId="4" priority="955" operator="containsText" text="VACAC">
      <formula>NOT(ISERROR(SEARCH(("VACAC"),(DV26))))</formula>
    </cfRule>
  </conditionalFormatting>
  <conditionalFormatting sqref="DV26:DX26">
    <cfRule type="containsText" dxfId="7" priority="956" operator="containsText" text="D">
      <formula>NOT(ISERROR(SEARCH(("D"),(DV26))))</formula>
    </cfRule>
  </conditionalFormatting>
  <conditionalFormatting sqref="DV26:DX26">
    <cfRule type="containsText" dxfId="8" priority="957" operator="containsText" text="3">
      <formula>NOT(ISERROR(SEARCH(("3"),(DV26))))</formula>
    </cfRule>
  </conditionalFormatting>
  <conditionalFormatting sqref="DV26:DX26">
    <cfRule type="containsText" dxfId="9" priority="958" operator="containsText" text="2">
      <formula>NOT(ISERROR(SEARCH(("2"),(DV26))))</formula>
    </cfRule>
  </conditionalFormatting>
  <conditionalFormatting sqref="DV26:DX26">
    <cfRule type="containsText" dxfId="10" priority="959" operator="containsText" text="1">
      <formula>NOT(ISERROR(SEARCH(("1"),(DV26))))</formula>
    </cfRule>
  </conditionalFormatting>
  <conditionalFormatting sqref="DV26:DX26">
    <cfRule type="containsText" dxfId="4" priority="960" operator="containsText" text="V A C A C">
      <formula>NOT(ISERROR(SEARCH(("V A C A C"),(DV26))))</formula>
    </cfRule>
  </conditionalFormatting>
  <conditionalFormatting sqref="DV26:DX26">
    <cfRule type="containsText" dxfId="4" priority="961" operator="containsText" text="VACAC">
      <formula>NOT(ISERROR(SEARCH(("VACAC"),(DV26))))</formula>
    </cfRule>
  </conditionalFormatting>
  <conditionalFormatting sqref="DV26:DX26">
    <cfRule type="containsText" dxfId="6" priority="962" operator="containsText" text="Ts">
      <formula>NOT(ISERROR(SEARCH(("Ts"),(DV26))))</formula>
    </cfRule>
  </conditionalFormatting>
  <conditionalFormatting sqref="DV26:DX26">
    <cfRule type="containsText" dxfId="7" priority="963" operator="containsText" text="D">
      <formula>NOT(ISERROR(SEARCH(("D"),(DV26))))</formula>
    </cfRule>
  </conditionalFormatting>
  <conditionalFormatting sqref="DV26:DX26">
    <cfRule type="containsText" dxfId="8" priority="964" operator="containsText" text="3">
      <formula>NOT(ISERROR(SEARCH(("3"),(DV26))))</formula>
    </cfRule>
  </conditionalFormatting>
  <conditionalFormatting sqref="DV26:DX26">
    <cfRule type="containsText" dxfId="9" priority="965" operator="containsText" text="2">
      <formula>NOT(ISERROR(SEARCH(("2"),(DV26))))</formula>
    </cfRule>
  </conditionalFormatting>
  <conditionalFormatting sqref="DV26:DX26">
    <cfRule type="containsText" dxfId="10" priority="966" operator="containsText" text="1">
      <formula>NOT(ISERROR(SEARCH(("1"),(DV26))))</formula>
    </cfRule>
  </conditionalFormatting>
  <conditionalFormatting sqref="DX16 EA16:EB16">
    <cfRule type="containsText" dxfId="4" priority="967" operator="containsText" text="V A C A C">
      <formula>NOT(ISERROR(SEARCH(("V A C A C"),(DX16))))</formula>
    </cfRule>
  </conditionalFormatting>
  <conditionalFormatting sqref="DX16 EA16:EB16">
    <cfRule type="containsText" dxfId="4" priority="968" operator="containsText" text="VACAC">
      <formula>NOT(ISERROR(SEARCH(("VACAC"),(DX16))))</formula>
    </cfRule>
  </conditionalFormatting>
  <conditionalFormatting sqref="DX16 EA16:EB16">
    <cfRule type="containsText" dxfId="6" priority="969" operator="containsText" text="Ts">
      <formula>NOT(ISERROR(SEARCH(("Ts"),(DX16))))</formula>
    </cfRule>
  </conditionalFormatting>
  <conditionalFormatting sqref="DX16 EA16:EB16">
    <cfRule type="containsText" dxfId="7" priority="970" operator="containsText" text="D">
      <formula>NOT(ISERROR(SEARCH(("D"),(DX16))))</formula>
    </cfRule>
  </conditionalFormatting>
  <conditionalFormatting sqref="DX16 EA16:EB16">
    <cfRule type="containsText" dxfId="8" priority="971" operator="containsText" text="3">
      <formula>NOT(ISERROR(SEARCH(("3"),(DX16))))</formula>
    </cfRule>
  </conditionalFormatting>
  <conditionalFormatting sqref="DX16 EA16:EB16">
    <cfRule type="containsText" dxfId="9" priority="972" operator="containsText" text="2">
      <formula>NOT(ISERROR(SEARCH(("2"),(DX16))))</formula>
    </cfRule>
  </conditionalFormatting>
  <conditionalFormatting sqref="DX16 EA16:EB16">
    <cfRule type="containsText" dxfId="10" priority="973" operator="containsText" text="1">
      <formula>NOT(ISERROR(SEARCH(("1"),(DX16))))</formula>
    </cfRule>
  </conditionalFormatting>
  <conditionalFormatting sqref="DX20 EA20:EB20">
    <cfRule type="containsText" dxfId="4" priority="974" operator="containsText" text="V A C A C">
      <formula>NOT(ISERROR(SEARCH(("V A C A C"),(DX20))))</formula>
    </cfRule>
  </conditionalFormatting>
  <conditionalFormatting sqref="DX20 EA20:EB20">
    <cfRule type="containsText" dxfId="4" priority="975" operator="containsText" text="VACAC">
      <formula>NOT(ISERROR(SEARCH(("VACAC"),(DX20))))</formula>
    </cfRule>
  </conditionalFormatting>
  <conditionalFormatting sqref="DX20 EA20:EB20">
    <cfRule type="containsText" dxfId="6" priority="976" operator="containsText" text="Ts">
      <formula>NOT(ISERROR(SEARCH(("Ts"),(DX20))))</formula>
    </cfRule>
  </conditionalFormatting>
  <conditionalFormatting sqref="DX20 EA20:EB20">
    <cfRule type="containsText" dxfId="7" priority="977" operator="containsText" text="D">
      <formula>NOT(ISERROR(SEARCH(("D"),(DX20))))</formula>
    </cfRule>
  </conditionalFormatting>
  <conditionalFormatting sqref="DX20 EA20:EB20">
    <cfRule type="containsText" dxfId="8" priority="978" operator="containsText" text="3">
      <formula>NOT(ISERROR(SEARCH(("3"),(DX20))))</formula>
    </cfRule>
  </conditionalFormatting>
  <conditionalFormatting sqref="DX20 EA20:EB20">
    <cfRule type="containsText" dxfId="9" priority="979" operator="containsText" text="2">
      <formula>NOT(ISERROR(SEARCH(("2"),(DX20))))</formula>
    </cfRule>
  </conditionalFormatting>
  <conditionalFormatting sqref="DX20 EA20:EB20">
    <cfRule type="containsText" dxfId="10" priority="980" operator="containsText" text="1">
      <formula>NOT(ISERROR(SEARCH(("1"),(DX20))))</formula>
    </cfRule>
  </conditionalFormatting>
  <conditionalFormatting sqref="DX22">
    <cfRule type="containsText" dxfId="4" priority="981" operator="containsText" text="V A C A C">
      <formula>NOT(ISERROR(SEARCH(("V A C A C"),(DX22))))</formula>
    </cfRule>
  </conditionalFormatting>
  <conditionalFormatting sqref="DX22">
    <cfRule type="containsText" dxfId="4" priority="982" operator="containsText" text="VACAC">
      <formula>NOT(ISERROR(SEARCH(("VACAC"),(DX22))))</formula>
    </cfRule>
  </conditionalFormatting>
  <conditionalFormatting sqref="DX22">
    <cfRule type="containsText" dxfId="6" priority="983" operator="containsText" text="Ts">
      <formula>NOT(ISERROR(SEARCH(("Ts"),(DX22))))</formula>
    </cfRule>
  </conditionalFormatting>
  <conditionalFormatting sqref="DX22">
    <cfRule type="containsText" dxfId="7" priority="984" operator="containsText" text="D">
      <formula>NOT(ISERROR(SEARCH(("D"),(DX22))))</formula>
    </cfRule>
  </conditionalFormatting>
  <conditionalFormatting sqref="DX22">
    <cfRule type="containsText" dxfId="8" priority="985" operator="containsText" text="3">
      <formula>NOT(ISERROR(SEARCH(("3"),(DX22))))</formula>
    </cfRule>
  </conditionalFormatting>
  <conditionalFormatting sqref="DX22">
    <cfRule type="containsText" dxfId="9" priority="986" operator="containsText" text="2">
      <formula>NOT(ISERROR(SEARCH(("2"),(DX22))))</formula>
    </cfRule>
  </conditionalFormatting>
  <conditionalFormatting sqref="DX22">
    <cfRule type="containsText" dxfId="10" priority="987" operator="containsText" text="1">
      <formula>NOT(ISERROR(SEARCH(("1"),(DX22))))</formula>
    </cfRule>
  </conditionalFormatting>
  <conditionalFormatting sqref="DX26 EA26:EB26">
    <cfRule type="containsText" dxfId="4" priority="988" operator="containsText" text="V A C A C">
      <formula>NOT(ISERROR(SEARCH(("V A C A C"),(DX26))))</formula>
    </cfRule>
  </conditionalFormatting>
  <conditionalFormatting sqref="DX26 EA26:EB26">
    <cfRule type="containsText" dxfId="4" priority="989" operator="containsText" text="VACAC">
      <formula>NOT(ISERROR(SEARCH(("VACAC"),(DX26))))</formula>
    </cfRule>
  </conditionalFormatting>
  <conditionalFormatting sqref="DX26 EA26:EB26">
    <cfRule type="containsText" dxfId="7" priority="990" operator="containsText" text="D">
      <formula>NOT(ISERROR(SEARCH(("D"),(DX26))))</formula>
    </cfRule>
  </conditionalFormatting>
  <conditionalFormatting sqref="DX26 EA26:EB26">
    <cfRule type="containsText" dxfId="8" priority="991" operator="containsText" text="3">
      <formula>NOT(ISERROR(SEARCH(("3"),(DX26))))</formula>
    </cfRule>
  </conditionalFormatting>
  <conditionalFormatting sqref="DX26 EA26:EB26">
    <cfRule type="containsText" dxfId="9" priority="992" operator="containsText" text="2">
      <formula>NOT(ISERROR(SEARCH(("2"),(DX26))))</formula>
    </cfRule>
  </conditionalFormatting>
  <conditionalFormatting sqref="DX26 EA26:EB26">
    <cfRule type="containsText" dxfId="10" priority="993" operator="containsText" text="1">
      <formula>NOT(ISERROR(SEARCH(("1"),(DX26))))</formula>
    </cfRule>
  </conditionalFormatting>
  <conditionalFormatting sqref="DX26">
    <cfRule type="containsText" dxfId="4" priority="994" operator="containsText" text="V A C A C">
      <formula>NOT(ISERROR(SEARCH(("V A C A C"),(DX26))))</formula>
    </cfRule>
  </conditionalFormatting>
  <conditionalFormatting sqref="DX26">
    <cfRule type="containsText" dxfId="4" priority="995" operator="containsText" text="VACAC">
      <formula>NOT(ISERROR(SEARCH(("VACAC"),(DX26))))</formula>
    </cfRule>
  </conditionalFormatting>
  <conditionalFormatting sqref="DX26">
    <cfRule type="containsText" dxfId="6" priority="996" operator="containsText" text="Ts">
      <formula>NOT(ISERROR(SEARCH(("Ts"),(DX26))))</formula>
    </cfRule>
  </conditionalFormatting>
  <conditionalFormatting sqref="DX26">
    <cfRule type="containsText" dxfId="7" priority="997" operator="containsText" text="D">
      <formula>NOT(ISERROR(SEARCH(("D"),(DX26))))</formula>
    </cfRule>
  </conditionalFormatting>
  <conditionalFormatting sqref="DX26">
    <cfRule type="containsText" dxfId="8" priority="998" operator="containsText" text="3">
      <formula>NOT(ISERROR(SEARCH(("3"),(DX26))))</formula>
    </cfRule>
  </conditionalFormatting>
  <conditionalFormatting sqref="DX26">
    <cfRule type="containsText" dxfId="9" priority="999" operator="containsText" text="2">
      <formula>NOT(ISERROR(SEARCH(("2"),(DX26))))</formula>
    </cfRule>
  </conditionalFormatting>
  <conditionalFormatting sqref="DX26">
    <cfRule type="containsText" dxfId="10" priority="1000" operator="containsText" text="1">
      <formula>NOT(ISERROR(SEARCH(("1"),(DX26))))</formula>
    </cfRule>
  </conditionalFormatting>
  <conditionalFormatting sqref="DX26">
    <cfRule type="containsText" dxfId="6" priority="1001" operator="containsText" text="Ts">
      <formula>NOT(ISERROR(SEARCH(("Ts"),(DX26))))</formula>
    </cfRule>
  </conditionalFormatting>
  <conditionalFormatting sqref="DY4:DZ4">
    <cfRule type="containsText" dxfId="10" priority="1002" operator="containsText" text="L">
      <formula>NOT(ISERROR(SEARCH(("L"),(DY4))))</formula>
    </cfRule>
  </conditionalFormatting>
  <conditionalFormatting sqref="EA34">
    <cfRule type="containsText" dxfId="7" priority="1003" operator="containsText" text="D">
      <formula>NOT(ISERROR(SEARCH(("D"),(EA34))))</formula>
    </cfRule>
  </conditionalFormatting>
  <conditionalFormatting sqref="EA34">
    <cfRule type="containsText" dxfId="4" priority="1004" operator="containsText" text="V A C A C">
      <formula>NOT(ISERROR(SEARCH(("V A C A C"),(EA34))))</formula>
    </cfRule>
  </conditionalFormatting>
  <conditionalFormatting sqref="EA34">
    <cfRule type="containsText" dxfId="4" priority="1005" operator="containsText" text="VACAC">
      <formula>NOT(ISERROR(SEARCH(("VACAC"),(EA34))))</formula>
    </cfRule>
  </conditionalFormatting>
  <conditionalFormatting sqref="EA34">
    <cfRule type="containsText" dxfId="5" priority="1006" operator="containsText" text="AP">
      <formula>NOT(ISERROR(SEARCH(("AP"),(EA34))))</formula>
    </cfRule>
  </conditionalFormatting>
  <conditionalFormatting sqref="EA34">
    <cfRule type="containsText" dxfId="6" priority="1007" operator="containsText" text="Ts">
      <formula>NOT(ISERROR(SEARCH(("Ts"),(EA34))))</formula>
    </cfRule>
  </conditionalFormatting>
  <conditionalFormatting sqref="EA34">
    <cfRule type="containsText" dxfId="8" priority="1008" operator="containsText" text="3">
      <formula>NOT(ISERROR(SEARCH(("3"),(EA34))))</formula>
    </cfRule>
  </conditionalFormatting>
  <conditionalFormatting sqref="EA34">
    <cfRule type="containsText" dxfId="9" priority="1009" operator="containsText" text="2">
      <formula>NOT(ISERROR(SEARCH(("2"),(EA34))))</formula>
    </cfRule>
  </conditionalFormatting>
  <conditionalFormatting sqref="EA34">
    <cfRule type="containsText" dxfId="10" priority="1010" operator="containsText" text="1">
      <formula>NOT(ISERROR(SEARCH(("1"),(EA34))))</formula>
    </cfRule>
  </conditionalFormatting>
  <conditionalFormatting sqref="DL7:DX7 EA7:EB8">
    <cfRule type="containsText" dxfId="5" priority="1011" operator="containsText" text="AP">
      <formula>NOT(ISERROR(SEARCH(("AP"),(DL7))))</formula>
    </cfRule>
  </conditionalFormatting>
  <conditionalFormatting sqref="CW11:DX11 EA10:EB15">
    <cfRule type="containsText" dxfId="5" priority="1012" operator="containsText" text="AP">
      <formula>NOT(ISERROR(SEARCH(("AP"),(CW11))))</formula>
    </cfRule>
  </conditionalFormatting>
  <conditionalFormatting sqref="DH12:DX12 EA12:EB12">
    <cfRule type="containsText" dxfId="6" priority="1013" operator="containsText" text="Ts">
      <formula>NOT(ISERROR(SEARCH(("Ts"),(DH12))))</formula>
    </cfRule>
  </conditionalFormatting>
  <conditionalFormatting sqref="CW24:DF24 EA24:EB24">
    <cfRule type="containsText" dxfId="4" priority="1014" operator="containsText" text="V A C A C">
      <formula>NOT(ISERROR(SEARCH(("V A C A C"),(CW24))))</formula>
    </cfRule>
  </conditionalFormatting>
  <conditionalFormatting sqref="CW24:DF24 EA24:EB24">
    <cfRule type="containsText" dxfId="4" priority="1015" operator="containsText" text="VACAC">
      <formula>NOT(ISERROR(SEARCH(("VACAC"),(CW24))))</formula>
    </cfRule>
  </conditionalFormatting>
  <conditionalFormatting sqref="DH24:DN24 DR24:DX24 EA24:EB24">
    <cfRule type="containsText" dxfId="8" priority="1016" operator="containsText" text="3">
      <formula>NOT(ISERROR(SEARCH(("3"),(DH24))))</formula>
    </cfRule>
  </conditionalFormatting>
  <conditionalFormatting sqref="EA24:EB24">
    <cfRule type="containsText" dxfId="7" priority="1017" operator="containsText" text="D">
      <formula>NOT(ISERROR(SEARCH(("D"),(EA24))))</formula>
    </cfRule>
  </conditionalFormatting>
  <conditionalFormatting sqref="EA24:EB24">
    <cfRule type="containsText" dxfId="6" priority="1018" operator="containsText" text="Ts">
      <formula>NOT(ISERROR(SEARCH(("Ts"),(EA24))))</formula>
    </cfRule>
  </conditionalFormatting>
  <conditionalFormatting sqref="CW28:DF28 DH28:DX28 EA28:EB28">
    <cfRule type="containsText" dxfId="6" priority="1019" operator="containsText" text="Ts">
      <formula>NOT(ISERROR(SEARCH(("Ts"),(CW28))))</formula>
    </cfRule>
  </conditionalFormatting>
  <conditionalFormatting sqref="CW30:CX30 EA28:EB31">
    <cfRule type="containsText" dxfId="5" priority="1020" operator="containsText" text="AP">
      <formula>NOT(ISERROR(SEARCH(("AP"),(CW30))))</formula>
    </cfRule>
  </conditionalFormatting>
  <conditionalFormatting sqref="EA22:EE22">
    <cfRule type="containsText" dxfId="4" priority="1021" operator="containsText" text="V A C A C">
      <formula>NOT(ISERROR(SEARCH(("V A C A C"),(EA22))))</formula>
    </cfRule>
  </conditionalFormatting>
  <conditionalFormatting sqref="EA22:EE22">
    <cfRule type="containsText" dxfId="4" priority="1022" operator="containsText" text="VACAC">
      <formula>NOT(ISERROR(SEARCH(("VACAC"),(EA22))))</formula>
    </cfRule>
  </conditionalFormatting>
  <conditionalFormatting sqref="EA32:EG32">
    <cfRule type="containsText" dxfId="4" priority="1023" operator="containsText" text="V A C A C">
      <formula>NOT(ISERROR(SEARCH(("V A C A C"),(EA32))))</formula>
    </cfRule>
  </conditionalFormatting>
  <conditionalFormatting sqref="EA32:EG32">
    <cfRule type="containsText" dxfId="4" priority="1024" operator="containsText" text="VACAC">
      <formula>NOT(ISERROR(SEARCH(("VACAC"),(EA32))))</formula>
    </cfRule>
  </conditionalFormatting>
  <conditionalFormatting sqref="EA32:EG32">
    <cfRule type="containsText" dxfId="6" priority="1025" operator="containsText" text="Ts">
      <formula>NOT(ISERROR(SEARCH(("Ts"),(EA32))))</formula>
    </cfRule>
  </conditionalFormatting>
  <conditionalFormatting sqref="EA32:EG32">
    <cfRule type="containsText" dxfId="7" priority="1026" operator="containsText" text="D">
      <formula>NOT(ISERROR(SEARCH(("D"),(EA32))))</formula>
    </cfRule>
  </conditionalFormatting>
  <conditionalFormatting sqref="EA32:EG32">
    <cfRule type="containsText" dxfId="8" priority="1027" operator="containsText" text="3">
      <formula>NOT(ISERROR(SEARCH(("3"),(EA32))))</formula>
    </cfRule>
  </conditionalFormatting>
  <conditionalFormatting sqref="EA32:EG32">
    <cfRule type="containsText" dxfId="9" priority="1028" operator="containsText" text="2">
      <formula>NOT(ISERROR(SEARCH(("2"),(EA32))))</formula>
    </cfRule>
  </conditionalFormatting>
  <conditionalFormatting sqref="EA32:EG32">
    <cfRule type="containsText" dxfId="10" priority="1029" operator="containsText" text="1">
      <formula>NOT(ISERROR(SEARCH(("1"),(EA32))))</formula>
    </cfRule>
  </conditionalFormatting>
  <conditionalFormatting sqref="EA34:EG34">
    <cfRule type="containsText" dxfId="4" priority="1030" operator="containsText" text="V A C A C">
      <formula>NOT(ISERROR(SEARCH(("V A C A C"),(EA34))))</formula>
    </cfRule>
  </conditionalFormatting>
  <conditionalFormatting sqref="EA34:EG34">
    <cfRule type="containsText" dxfId="4" priority="1031" operator="containsText" text="VACAC">
      <formula>NOT(ISERROR(SEARCH(("VACAC"),(EA34))))</formula>
    </cfRule>
  </conditionalFormatting>
  <conditionalFormatting sqref="EA34:EG34">
    <cfRule type="containsText" dxfId="6" priority="1032" operator="containsText" text="Ts">
      <formula>NOT(ISERROR(SEARCH(("Ts"),(EA34))))</formula>
    </cfRule>
  </conditionalFormatting>
  <conditionalFormatting sqref="EA34:EH34">
    <cfRule type="containsText" dxfId="7" priority="1033" operator="containsText" text="D">
      <formula>NOT(ISERROR(SEARCH(("D"),(EA34))))</formula>
    </cfRule>
  </conditionalFormatting>
  <conditionalFormatting sqref="EA36:EH36">
    <cfRule type="containsText" dxfId="7" priority="1034" operator="containsText" text="D">
      <formula>NOT(ISERROR(SEARCH(("D"),(EA36))))</formula>
    </cfRule>
  </conditionalFormatting>
  <conditionalFormatting sqref="EA36:EH36">
    <cfRule type="containsText" dxfId="10" priority="1035" operator="containsText" text="L">
      <formula>NOT(ISERROR(SEARCH(("L"),(EA36))))</formula>
    </cfRule>
  </conditionalFormatting>
  <conditionalFormatting sqref="EA6:EK6">
    <cfRule type="containsText" dxfId="7" priority="1036" operator="containsText" text="D">
      <formula>NOT(ISERROR(SEARCH(("D"),(EA6))))</formula>
    </cfRule>
  </conditionalFormatting>
  <conditionalFormatting sqref="CW14:DX14 EA14:EM14">
    <cfRule type="containsText" dxfId="6" priority="1037" operator="containsText" text="Ts">
      <formula>NOT(ISERROR(SEARCH(("Ts"),(CW14))))</formula>
    </cfRule>
  </conditionalFormatting>
  <conditionalFormatting sqref="EA10:EY10">
    <cfRule type="containsText" dxfId="6" priority="1038" operator="containsText" text="Ts">
      <formula>NOT(ISERROR(SEARCH(("Ts"),(EA10))))</formula>
    </cfRule>
  </conditionalFormatting>
  <conditionalFormatting sqref="EA10:EY10">
    <cfRule type="containsText" dxfId="7" priority="1039" operator="containsText" text="D">
      <formula>NOT(ISERROR(SEARCH(("D"),(EA10))))</formula>
    </cfRule>
  </conditionalFormatting>
  <conditionalFormatting sqref="EA10:EY10">
    <cfRule type="containsText" dxfId="8" priority="1040" operator="containsText" text="3">
      <formula>NOT(ISERROR(SEARCH(("3"),(EA10))))</formula>
    </cfRule>
  </conditionalFormatting>
  <conditionalFormatting sqref="EA10:EY10">
    <cfRule type="containsText" dxfId="9" priority="1041" operator="containsText" text="2">
      <formula>NOT(ISERROR(SEARCH(("2"),(EA10))))</formula>
    </cfRule>
  </conditionalFormatting>
  <conditionalFormatting sqref="EA10:EY10">
    <cfRule type="containsText" dxfId="10" priority="1042" operator="containsText" text="1">
      <formula>NOT(ISERROR(SEARCH(("1"),(EA10))))</formula>
    </cfRule>
  </conditionalFormatting>
  <conditionalFormatting sqref="EA7:FB7">
    <cfRule type="containsText" dxfId="11" priority="1043" operator="containsText" text="ex">
      <formula>NOT(ISERROR(SEARCH(("ex"),(EA7))))</formula>
    </cfRule>
  </conditionalFormatting>
  <conditionalFormatting sqref="EA10:FB10">
    <cfRule type="containsText" dxfId="4" priority="1044" operator="containsText" text="V A C A C">
      <formula>NOT(ISERROR(SEARCH(("V A C A C"),(EA10))))</formula>
    </cfRule>
  </conditionalFormatting>
  <conditionalFormatting sqref="EA10:FB10">
    <cfRule type="containsText" dxfId="4" priority="1045" operator="containsText" text="VACAC">
      <formula>NOT(ISERROR(SEARCH(("VACAC"),(EA10))))</formula>
    </cfRule>
  </conditionalFormatting>
  <conditionalFormatting sqref="EA11:FB11">
    <cfRule type="containsText" dxfId="11" priority="1046" operator="containsText" text="ex">
      <formula>NOT(ISERROR(SEARCH(("ex"),(EA11))))</formula>
    </cfRule>
  </conditionalFormatting>
  <conditionalFormatting sqref="EA12:FB12">
    <cfRule type="containsText" dxfId="4" priority="1047" operator="containsText" text="V A C A C">
      <formula>NOT(ISERROR(SEARCH(("V A C A C"),(EA12))))</formula>
    </cfRule>
  </conditionalFormatting>
  <conditionalFormatting sqref="EA12:FB12">
    <cfRule type="containsText" dxfId="4" priority="1048" operator="containsText" text="VACAC">
      <formula>NOT(ISERROR(SEARCH(("VACAC"),(EA12))))</formula>
    </cfRule>
  </conditionalFormatting>
  <conditionalFormatting sqref="EA13:FB13">
    <cfRule type="containsText" dxfId="11" priority="1049" operator="containsText" text="ex">
      <formula>NOT(ISERROR(SEARCH(("ex"),(EA13))))</formula>
    </cfRule>
  </conditionalFormatting>
  <conditionalFormatting sqref="EA14:FB14">
    <cfRule type="containsText" dxfId="4" priority="1050" operator="containsText" text="V A C A C">
      <formula>NOT(ISERROR(SEARCH(("V A C A C"),(EA14))))</formula>
    </cfRule>
  </conditionalFormatting>
  <conditionalFormatting sqref="EA14:FB14">
    <cfRule type="containsText" dxfId="4" priority="1051" operator="containsText" text="VACAC">
      <formula>NOT(ISERROR(SEARCH(("VACAC"),(EA14))))</formula>
    </cfRule>
  </conditionalFormatting>
  <conditionalFormatting sqref="EA16:FB16">
    <cfRule type="containsText" dxfId="6" priority="1052" operator="containsText" text="Ts">
      <formula>NOT(ISERROR(SEARCH(("Ts"),(EA16))))</formula>
    </cfRule>
  </conditionalFormatting>
  <conditionalFormatting sqref="EA16:FB16">
    <cfRule type="containsText" dxfId="4" priority="1053" operator="containsText" text="V A C A C">
      <formula>NOT(ISERROR(SEARCH(("V A C A C"),(EA16))))</formula>
    </cfRule>
  </conditionalFormatting>
  <conditionalFormatting sqref="EA16:FB16">
    <cfRule type="containsText" dxfId="4" priority="1054" operator="containsText" text="VACAC">
      <formula>NOT(ISERROR(SEARCH(("VACAC"),(EA16))))</formula>
    </cfRule>
  </conditionalFormatting>
  <conditionalFormatting sqref="EA16:FB16">
    <cfRule type="containsText" dxfId="7" priority="1055" operator="containsText" text="D">
      <formula>NOT(ISERROR(SEARCH(("D"),(EA16))))</formula>
    </cfRule>
  </conditionalFormatting>
  <conditionalFormatting sqref="EA16:FB16">
    <cfRule type="containsText" dxfId="8" priority="1056" operator="containsText" text="3">
      <formula>NOT(ISERROR(SEARCH(("3"),(EA16))))</formula>
    </cfRule>
  </conditionalFormatting>
  <conditionalFormatting sqref="EA16:FB16">
    <cfRule type="containsText" dxfId="9" priority="1057" operator="containsText" text="2">
      <formula>NOT(ISERROR(SEARCH(("2"),(EA16))))</formula>
    </cfRule>
  </conditionalFormatting>
  <conditionalFormatting sqref="EA16:FB16">
    <cfRule type="containsText" dxfId="10" priority="1058" operator="containsText" text="1">
      <formula>NOT(ISERROR(SEARCH(("1"),(EA16))))</formula>
    </cfRule>
  </conditionalFormatting>
  <conditionalFormatting sqref="EA17:FB17">
    <cfRule type="containsText" dxfId="11" priority="1059" operator="containsText" text="ex">
      <formula>NOT(ISERROR(SEARCH(("ex"),(EA17))))</formula>
    </cfRule>
  </conditionalFormatting>
  <conditionalFormatting sqref="EA18:FB18 FE18:FG18">
    <cfRule type="containsText" dxfId="4" priority="1060" operator="containsText" text="V A C A C">
      <formula>NOT(ISERROR(SEARCH(("V A C A C"),(EA18))))</formula>
    </cfRule>
  </conditionalFormatting>
  <conditionalFormatting sqref="EA18:FB18 FE18:FG18">
    <cfRule type="containsText" dxfId="4" priority="1061" operator="containsText" text="VACAC">
      <formula>NOT(ISERROR(SEARCH(("VACAC"),(EA18))))</formula>
    </cfRule>
  </conditionalFormatting>
  <conditionalFormatting sqref="EA18:FB18 FE18:FG18">
    <cfRule type="containsText" dxfId="6" priority="1062" operator="containsText" text="Ts">
      <formula>NOT(ISERROR(SEARCH(("Ts"),(EA18))))</formula>
    </cfRule>
  </conditionalFormatting>
  <conditionalFormatting sqref="EA18:FB18 FE18:FG18">
    <cfRule type="containsText" dxfId="7" priority="1063" operator="containsText" text="D">
      <formula>NOT(ISERROR(SEARCH(("D"),(EA18))))</formula>
    </cfRule>
  </conditionalFormatting>
  <conditionalFormatting sqref="EA18:FB18 FE18:FG18">
    <cfRule type="containsText" dxfId="8" priority="1064" operator="containsText" text="3">
      <formula>NOT(ISERROR(SEARCH(("3"),(EA18))))</formula>
    </cfRule>
  </conditionalFormatting>
  <conditionalFormatting sqref="EA18:FB18 FE18:FH18">
    <cfRule type="containsText" dxfId="9" priority="1065" operator="containsText" text="2">
      <formula>NOT(ISERROR(SEARCH(("2"),(EA18))))</formula>
    </cfRule>
  </conditionalFormatting>
  <conditionalFormatting sqref="EA19:FB19">
    <cfRule type="containsText" dxfId="11" priority="1066" operator="containsText" text="ex">
      <formula>NOT(ISERROR(SEARCH(("ex"),(EA19))))</formula>
    </cfRule>
  </conditionalFormatting>
  <conditionalFormatting sqref="EA20:FB20">
    <cfRule type="containsText" dxfId="6" priority="1067" operator="containsText" text="Ts">
      <formula>NOT(ISERROR(SEARCH(("Ts"),(EA20))))</formula>
    </cfRule>
  </conditionalFormatting>
  <conditionalFormatting sqref="EA20:FB20">
    <cfRule type="containsText" dxfId="4" priority="1068" operator="containsText" text="V A C A C">
      <formula>NOT(ISERROR(SEARCH(("V A C A C"),(EA20))))</formula>
    </cfRule>
  </conditionalFormatting>
  <conditionalFormatting sqref="EA20:FB20">
    <cfRule type="containsText" dxfId="4" priority="1069" operator="containsText" text="VACAC">
      <formula>NOT(ISERROR(SEARCH(("VACAC"),(EA20))))</formula>
    </cfRule>
  </conditionalFormatting>
  <conditionalFormatting sqref="EA20:FB20">
    <cfRule type="containsText" dxfId="7" priority="1070" operator="containsText" text="D">
      <formula>NOT(ISERROR(SEARCH(("D"),(EA20))))</formula>
    </cfRule>
  </conditionalFormatting>
  <conditionalFormatting sqref="EA20:FB20">
    <cfRule type="containsText" dxfId="8" priority="1071" operator="containsText" text="3">
      <formula>NOT(ISERROR(SEARCH(("3"),(EA20))))</formula>
    </cfRule>
  </conditionalFormatting>
  <conditionalFormatting sqref="EA20:FB20">
    <cfRule type="containsText" dxfId="9" priority="1072" operator="containsText" text="2">
      <formula>NOT(ISERROR(SEARCH(("2"),(EA20))))</formula>
    </cfRule>
  </conditionalFormatting>
  <conditionalFormatting sqref="EA20:FB20">
    <cfRule type="containsText" dxfId="10" priority="1073" operator="containsText" text="1">
      <formula>NOT(ISERROR(SEARCH(("1"),(EA20))))</formula>
    </cfRule>
  </conditionalFormatting>
  <conditionalFormatting sqref="EA21:FB21">
    <cfRule type="containsText" dxfId="11" priority="1074" operator="containsText" text="ex">
      <formula>NOT(ISERROR(SEARCH(("ex"),(EA21))))</formula>
    </cfRule>
  </conditionalFormatting>
  <conditionalFormatting sqref="EA23:FB23">
    <cfRule type="containsText" dxfId="11" priority="1075" operator="containsText" text="ex">
      <formula>NOT(ISERROR(SEARCH(("ex"),(EA23))))</formula>
    </cfRule>
  </conditionalFormatting>
  <conditionalFormatting sqref="EA25:FB25">
    <cfRule type="containsText" dxfId="11" priority="1076" operator="containsText" text="ex">
      <formula>NOT(ISERROR(SEARCH(("ex"),(EA25))))</formula>
    </cfRule>
  </conditionalFormatting>
  <conditionalFormatting sqref="EA8:FB8 EA26:FB26 FE8:GM8">
    <cfRule type="containsText" dxfId="4" priority="1077" operator="containsText" text="V A C A C">
      <formula>NOT(ISERROR(SEARCH(("V A C A C"),(EA8))))</formula>
    </cfRule>
  </conditionalFormatting>
  <conditionalFormatting sqref="EA8:FB8 EA26:FB26 FE8:GM8">
    <cfRule type="containsText" dxfId="4" priority="1078" operator="containsText" text="VACAC">
      <formula>NOT(ISERROR(SEARCH(("VACAC"),(EA8))))</formula>
    </cfRule>
  </conditionalFormatting>
  <conditionalFormatting sqref="EA26:FB26 FE26:FI26">
    <cfRule type="containsText" dxfId="7" priority="1079" operator="containsText" text="D">
      <formula>NOT(ISERROR(SEARCH(("D"),(EA26))))</formula>
    </cfRule>
  </conditionalFormatting>
  <conditionalFormatting sqref="EA26:FB26 FE26:FI26">
    <cfRule type="containsText" dxfId="8" priority="1080" operator="containsText" text="3">
      <formula>NOT(ISERROR(SEARCH(("3"),(EA26))))</formula>
    </cfRule>
  </conditionalFormatting>
  <conditionalFormatting sqref="EA26:FB26 FE26:FI26">
    <cfRule type="containsText" dxfId="9" priority="1081" operator="containsText" text="2">
      <formula>NOT(ISERROR(SEARCH(("2"),(EA26))))</formula>
    </cfRule>
  </conditionalFormatting>
  <conditionalFormatting sqref="EA26:FB26 FE26:FI26">
    <cfRule type="containsText" dxfId="10" priority="1082" operator="containsText" text="1">
      <formula>NOT(ISERROR(SEARCH(("1"),(EA26))))</formula>
    </cfRule>
  </conditionalFormatting>
  <conditionalFormatting sqref="EA28:FB28">
    <cfRule type="containsText" dxfId="4" priority="1083" operator="containsText" text="V A C A C">
      <formula>NOT(ISERROR(SEARCH(("V A C A C"),(EA28))))</formula>
    </cfRule>
  </conditionalFormatting>
  <conditionalFormatting sqref="EA28:FB28">
    <cfRule type="containsText" dxfId="4" priority="1084" operator="containsText" text="VACAC">
      <formula>NOT(ISERROR(SEARCH(("VACAC"),(EA28))))</formula>
    </cfRule>
  </conditionalFormatting>
  <conditionalFormatting sqref="EA29:FB29">
    <cfRule type="containsText" dxfId="11" priority="1085" operator="containsText" text="ex">
      <formula>NOT(ISERROR(SEARCH(("ex"),(EA29))))</formula>
    </cfRule>
  </conditionalFormatting>
  <conditionalFormatting sqref="EA30:FB30">
    <cfRule type="containsText" dxfId="4" priority="1086" operator="containsText" text="V A C A C">
      <formula>NOT(ISERROR(SEARCH(("V A C A C"),(EA30))))</formula>
    </cfRule>
  </conditionalFormatting>
  <conditionalFormatting sqref="EA30:FB30">
    <cfRule type="containsText" dxfId="4" priority="1087" operator="containsText" text="VACAC">
      <formula>NOT(ISERROR(SEARCH(("VACAC"),(EA30))))</formula>
    </cfRule>
  </conditionalFormatting>
  <conditionalFormatting sqref="EA31:FB31">
    <cfRule type="containsText" dxfId="11" priority="1088" operator="containsText" text="ex">
      <formula>NOT(ISERROR(SEARCH(("ex"),(EA31))))</formula>
    </cfRule>
  </conditionalFormatting>
  <conditionalFormatting sqref="EA33:FB33">
    <cfRule type="containsText" dxfId="11" priority="1089" operator="containsText" text="ex">
      <formula>NOT(ISERROR(SEARCH(("ex"),(EA33))))</formula>
    </cfRule>
  </conditionalFormatting>
  <conditionalFormatting sqref="EA35:FB35 FE35:FI35">
    <cfRule type="containsText" dxfId="11" priority="1090" operator="containsText" text="ex">
      <formula>NOT(ISERROR(SEARCH(("ex"),(EA35))))</formula>
    </cfRule>
  </conditionalFormatting>
  <conditionalFormatting sqref="EC4">
    <cfRule type="containsText" dxfId="4" priority="1091" operator="containsText" text="V A C A C">
      <formula>NOT(ISERROR(SEARCH(("V A C A C"),(EC4))))</formula>
    </cfRule>
  </conditionalFormatting>
  <conditionalFormatting sqref="EC4">
    <cfRule type="containsText" dxfId="4" priority="1092" operator="containsText" text="VACAC">
      <formula>NOT(ISERROR(SEARCH(("VACAC"),(EC4))))</formula>
    </cfRule>
  </conditionalFormatting>
  <conditionalFormatting sqref="EC4">
    <cfRule type="containsText" dxfId="5" priority="1093" operator="containsText" text="AP">
      <formula>NOT(ISERROR(SEARCH(("AP"),(EC4))))</formula>
    </cfRule>
  </conditionalFormatting>
  <conditionalFormatting sqref="EC4">
    <cfRule type="containsText" dxfId="6" priority="1094" operator="containsText" text="Ts">
      <formula>NOT(ISERROR(SEARCH(("Ts"),(EC4))))</formula>
    </cfRule>
  </conditionalFormatting>
  <conditionalFormatting sqref="EC4">
    <cfRule type="containsText" dxfId="7" priority="1095" operator="containsText" text="D">
      <formula>NOT(ISERROR(SEARCH(("D"),(EC4))))</formula>
    </cfRule>
  </conditionalFormatting>
  <conditionalFormatting sqref="EC4">
    <cfRule type="containsText" dxfId="8" priority="1096" operator="containsText" text="3">
      <formula>NOT(ISERROR(SEARCH(("3"),(EC4))))</formula>
    </cfRule>
  </conditionalFormatting>
  <conditionalFormatting sqref="EC4">
    <cfRule type="containsText" dxfId="9" priority="1097" operator="containsText" text="2">
      <formula>NOT(ISERROR(SEARCH(("2"),(EC4))))</formula>
    </cfRule>
  </conditionalFormatting>
  <conditionalFormatting sqref="EC4">
    <cfRule type="containsText" dxfId="10" priority="1098" operator="containsText" text="1">
      <formula>NOT(ISERROR(SEARCH(("1"),(EC4))))</formula>
    </cfRule>
  </conditionalFormatting>
  <conditionalFormatting sqref="EC18:EE18">
    <cfRule type="containsText" dxfId="6" priority="1099" operator="containsText" text="Ts">
      <formula>NOT(ISERROR(SEARCH(("Ts"),(EC18))))</formula>
    </cfRule>
  </conditionalFormatting>
  <conditionalFormatting sqref="EC18:EE18">
    <cfRule type="containsText" dxfId="7" priority="1100" operator="containsText" text="D">
      <formula>NOT(ISERROR(SEARCH(("D"),(EC18))))</formula>
    </cfRule>
  </conditionalFormatting>
  <conditionalFormatting sqref="EC18:EE18">
    <cfRule type="containsText" dxfId="8" priority="1101" operator="containsText" text="3">
      <formula>NOT(ISERROR(SEARCH(("3"),(EC18))))</formula>
    </cfRule>
  </conditionalFormatting>
  <conditionalFormatting sqref="EC18:EE18">
    <cfRule type="containsText" dxfId="9" priority="1102" operator="containsText" text="2">
      <formula>NOT(ISERROR(SEARCH(("2"),(EC18))))</formula>
    </cfRule>
  </conditionalFormatting>
  <conditionalFormatting sqref="EC18:EE18">
    <cfRule type="containsText" dxfId="10" priority="1103" operator="containsText" text="1">
      <formula>NOT(ISERROR(SEARCH(("1"),(EC18))))</formula>
    </cfRule>
  </conditionalFormatting>
  <conditionalFormatting sqref="EC22:EE22">
    <cfRule type="containsText" dxfId="7" priority="1104" operator="containsText" text="D">
      <formula>NOT(ISERROR(SEARCH(("D"),(EC22))))</formula>
    </cfRule>
  </conditionalFormatting>
  <conditionalFormatting sqref="EC22:EE22">
    <cfRule type="containsText" dxfId="8" priority="1105" operator="containsText" text="3">
      <formula>NOT(ISERROR(SEARCH(("3"),(EC22))))</formula>
    </cfRule>
  </conditionalFormatting>
  <conditionalFormatting sqref="EC22:EE22">
    <cfRule type="containsText" dxfId="9" priority="1106" operator="containsText" text="2">
      <formula>NOT(ISERROR(SEARCH(("2"),(EC22))))</formula>
    </cfRule>
  </conditionalFormatting>
  <conditionalFormatting sqref="EC22:EE22">
    <cfRule type="containsText" dxfId="10" priority="1107" operator="containsText" text="1">
      <formula>NOT(ISERROR(SEARCH(("1"),(EC22))))</formula>
    </cfRule>
  </conditionalFormatting>
  <conditionalFormatting sqref="EC22:EE22">
    <cfRule type="containsText" dxfId="6" priority="1108" operator="containsText" text="Ts">
      <formula>NOT(ISERROR(SEARCH(("Ts"),(EC22))))</formula>
    </cfRule>
  </conditionalFormatting>
  <conditionalFormatting sqref="EC22:EE22">
    <cfRule type="containsText" dxfId="7" priority="1109" operator="containsText" text="D">
      <formula>NOT(ISERROR(SEARCH(("D"),(EC22))))</formula>
    </cfRule>
  </conditionalFormatting>
  <conditionalFormatting sqref="EC22:EE22">
    <cfRule type="containsText" dxfId="8" priority="1110" operator="containsText" text="3">
      <formula>NOT(ISERROR(SEARCH(("3"),(EC22))))</formula>
    </cfRule>
  </conditionalFormatting>
  <conditionalFormatting sqref="EC22:EE22">
    <cfRule type="containsText" dxfId="9" priority="1111" operator="containsText" text="2">
      <formula>NOT(ISERROR(SEARCH(("2"),(EC22))))</formula>
    </cfRule>
  </conditionalFormatting>
  <conditionalFormatting sqref="EC22:EE22">
    <cfRule type="containsText" dxfId="10" priority="1112" operator="containsText" text="1">
      <formula>NOT(ISERROR(SEARCH(("1"),(EC22))))</formula>
    </cfRule>
  </conditionalFormatting>
  <conditionalFormatting sqref="EC32:EG32">
    <cfRule type="containsText" dxfId="5" priority="1113" operator="containsText" text="AP">
      <formula>NOT(ISERROR(SEARCH(("AP"),(EC32))))</formula>
    </cfRule>
  </conditionalFormatting>
  <conditionalFormatting sqref="EC32:EG32">
    <cfRule type="containsText" dxfId="4" priority="1114" operator="containsText" text="V A C A C">
      <formula>NOT(ISERROR(SEARCH(("V A C A C"),(EC32))))</formula>
    </cfRule>
  </conditionalFormatting>
  <conditionalFormatting sqref="EC32:EG32">
    <cfRule type="containsText" dxfId="4" priority="1115" operator="containsText" text="VACAC">
      <formula>NOT(ISERROR(SEARCH(("VACAC"),(EC32))))</formula>
    </cfRule>
  </conditionalFormatting>
  <conditionalFormatting sqref="EC32:EG32">
    <cfRule type="containsText" dxfId="6" priority="1116" operator="containsText" text="Ts">
      <formula>NOT(ISERROR(SEARCH(("Ts"),(EC32))))</formula>
    </cfRule>
  </conditionalFormatting>
  <conditionalFormatting sqref="EC32:EG32">
    <cfRule type="containsText" dxfId="7" priority="1117" operator="containsText" text="D">
      <formula>NOT(ISERROR(SEARCH(("D"),(EC32))))</formula>
    </cfRule>
  </conditionalFormatting>
  <conditionalFormatting sqref="EC32:EG32">
    <cfRule type="containsText" dxfId="8" priority="1118" operator="containsText" text="3">
      <formula>NOT(ISERROR(SEARCH(("3"),(EC32))))</formula>
    </cfRule>
  </conditionalFormatting>
  <conditionalFormatting sqref="EC32:EG32">
    <cfRule type="containsText" dxfId="9" priority="1119" operator="containsText" text="2">
      <formula>NOT(ISERROR(SEARCH(("2"),(EC32))))</formula>
    </cfRule>
  </conditionalFormatting>
  <conditionalFormatting sqref="EC32:EG32">
    <cfRule type="containsText" dxfId="10" priority="1120" operator="containsText" text="1">
      <formula>NOT(ISERROR(SEARCH(("1"),(EC32))))</formula>
    </cfRule>
  </conditionalFormatting>
  <conditionalFormatting sqref="EC34:EG34">
    <cfRule type="containsText" dxfId="5" priority="1121" operator="containsText" text="AP">
      <formula>NOT(ISERROR(SEARCH(("AP"),(EC34))))</formula>
    </cfRule>
  </conditionalFormatting>
  <conditionalFormatting sqref="EC34:EG34">
    <cfRule type="containsText" dxfId="4" priority="1122" operator="containsText" text="V A C A C">
      <formula>NOT(ISERROR(SEARCH(("V A C A C"),(EC34))))</formula>
    </cfRule>
  </conditionalFormatting>
  <conditionalFormatting sqref="EC34:EG34">
    <cfRule type="containsText" dxfId="4" priority="1123" operator="containsText" text="VACAC">
      <formula>NOT(ISERROR(SEARCH(("VACAC"),(EC34))))</formula>
    </cfRule>
  </conditionalFormatting>
  <conditionalFormatting sqref="EC34:EG34">
    <cfRule type="containsText" dxfId="6" priority="1124" operator="containsText" text="Ts">
      <formula>NOT(ISERROR(SEARCH(("Ts"),(EC34))))</formula>
    </cfRule>
  </conditionalFormatting>
  <conditionalFormatting sqref="EC34:EG34">
    <cfRule type="containsText" dxfId="7" priority="1125" operator="containsText" text="D">
      <formula>NOT(ISERROR(SEARCH(("D"),(EC34))))</formula>
    </cfRule>
  </conditionalFormatting>
  <conditionalFormatting sqref="EC34:EG34">
    <cfRule type="containsText" dxfId="8" priority="1126" operator="containsText" text="3">
      <formula>NOT(ISERROR(SEARCH(("3"),(EC34))))</formula>
    </cfRule>
  </conditionalFormatting>
  <conditionalFormatting sqref="EC34:EG34">
    <cfRule type="containsText" dxfId="9" priority="1127" operator="containsText" text="2">
      <formula>NOT(ISERROR(SEARCH(("2"),(EC34))))</formula>
    </cfRule>
  </conditionalFormatting>
  <conditionalFormatting sqref="EC34:EG34">
    <cfRule type="containsText" dxfId="10" priority="1128" operator="containsText" text="1">
      <formula>NOT(ISERROR(SEARCH(("1"),(EC34))))</formula>
    </cfRule>
  </conditionalFormatting>
  <conditionalFormatting sqref="EC34:EG34">
    <cfRule type="containsText" dxfId="7" priority="1129" operator="containsText" text="D">
      <formula>NOT(ISERROR(SEARCH(("D"),(EC34))))</formula>
    </cfRule>
  </conditionalFormatting>
  <conditionalFormatting sqref="EC34:EG34">
    <cfRule type="containsText" dxfId="8" priority="1130" operator="containsText" text="3">
      <formula>NOT(ISERROR(SEARCH(("3"),(EC34))))</formula>
    </cfRule>
  </conditionalFormatting>
  <conditionalFormatting sqref="EC34:EG34">
    <cfRule type="containsText" dxfId="9" priority="1131" operator="containsText" text="2">
      <formula>NOT(ISERROR(SEARCH(("2"),(EC34))))</formula>
    </cfRule>
  </conditionalFormatting>
  <conditionalFormatting sqref="EC34:EG34">
    <cfRule type="containsText" dxfId="10" priority="1132" operator="containsText" text="1">
      <formula>NOT(ISERROR(SEARCH(("1"),(EC34))))</formula>
    </cfRule>
  </conditionalFormatting>
  <conditionalFormatting sqref="EC34:EH34">
    <cfRule type="containsText" dxfId="10" priority="1133" operator="containsText" text="L">
      <formula>NOT(ISERROR(SEARCH(("L"),(EC34))))</formula>
    </cfRule>
  </conditionalFormatting>
  <conditionalFormatting sqref="EC6:EK6">
    <cfRule type="containsText" dxfId="4" priority="1134" operator="containsText" text="V A C A C">
      <formula>NOT(ISERROR(SEARCH(("V A C A C"),(EC6))))</formula>
    </cfRule>
  </conditionalFormatting>
  <conditionalFormatting sqref="EC6:EK6">
    <cfRule type="containsText" dxfId="4" priority="1135" operator="containsText" text="VACAC">
      <formula>NOT(ISERROR(SEARCH(("VACAC"),(EC6))))</formula>
    </cfRule>
  </conditionalFormatting>
  <conditionalFormatting sqref="EC6:EK6">
    <cfRule type="containsText" dxfId="6" priority="1136" operator="containsText" text="Ts">
      <formula>NOT(ISERROR(SEARCH(("Ts"),(EC6))))</formula>
    </cfRule>
  </conditionalFormatting>
  <conditionalFormatting sqref="EC6:EK6">
    <cfRule type="containsText" dxfId="8" priority="1137" operator="containsText" text="3">
      <formula>NOT(ISERROR(SEARCH(("3"),(EC6))))</formula>
    </cfRule>
  </conditionalFormatting>
  <conditionalFormatting sqref="EC6:EK6">
    <cfRule type="containsText" dxfId="9" priority="1138" operator="containsText" text="2">
      <formula>NOT(ISERROR(SEARCH(("2"),(EC6))))</formula>
    </cfRule>
  </conditionalFormatting>
  <conditionalFormatting sqref="EC6:EK6">
    <cfRule type="containsText" dxfId="10" priority="1139" operator="containsText" text="1">
      <formula>NOT(ISERROR(SEARCH(("1"),(EC6))))</formula>
    </cfRule>
  </conditionalFormatting>
  <conditionalFormatting sqref="EC14:EM14">
    <cfRule type="containsText" dxfId="7" priority="1140" operator="containsText" text="D">
      <formula>NOT(ISERROR(SEARCH(("D"),(EC14))))</formula>
    </cfRule>
  </conditionalFormatting>
  <conditionalFormatting sqref="EC14:EM14">
    <cfRule type="containsText" dxfId="8" priority="1141" operator="containsText" text="3">
      <formula>NOT(ISERROR(SEARCH(("3"),(EC14))))</formula>
    </cfRule>
  </conditionalFormatting>
  <conditionalFormatting sqref="EC14:EM14">
    <cfRule type="containsText" dxfId="9" priority="1142" operator="containsText" text="2">
      <formula>NOT(ISERROR(SEARCH(("2"),(EC14))))</formula>
    </cfRule>
  </conditionalFormatting>
  <conditionalFormatting sqref="EC14:EM14">
    <cfRule type="containsText" dxfId="10" priority="1143" operator="containsText" text="1">
      <formula>NOT(ISERROR(SEARCH(("1"),(EC14))))</formula>
    </cfRule>
  </conditionalFormatting>
  <conditionalFormatting sqref="EC6:FB27">
    <cfRule type="containsText" dxfId="5" priority="1144" operator="containsText" text="AP">
      <formula>NOT(ISERROR(SEARCH(("AP"),(EC6))))</formula>
    </cfRule>
  </conditionalFormatting>
  <conditionalFormatting sqref="EC8:FB8 FE8:FI8">
    <cfRule type="containsText" dxfId="7" priority="1145" operator="containsText" text="D">
      <formula>NOT(ISERROR(SEARCH(("D"),(EC8))))</formula>
    </cfRule>
  </conditionalFormatting>
  <conditionalFormatting sqref="EC8:FB8 FE8:FI8">
    <cfRule type="containsText" dxfId="8" priority="1146" operator="containsText" text="3">
      <formula>NOT(ISERROR(SEARCH(("3"),(EC8))))</formula>
    </cfRule>
  </conditionalFormatting>
  <conditionalFormatting sqref="EC8:FB8 FE8:FI8">
    <cfRule type="containsText" dxfId="9" priority="1147" operator="containsText" text="2">
      <formula>NOT(ISERROR(SEARCH(("2"),(EC8))))</formula>
    </cfRule>
  </conditionalFormatting>
  <conditionalFormatting sqref="EC8:FB8 FE8:FI8">
    <cfRule type="containsText" dxfId="10" priority="1148" operator="containsText" text="1">
      <formula>NOT(ISERROR(SEARCH(("1"),(EC8))))</formula>
    </cfRule>
  </conditionalFormatting>
  <conditionalFormatting sqref="EC8:FB8 FE8:GM8">
    <cfRule type="containsText" dxfId="6" priority="1149" operator="containsText" text="Ts">
      <formula>NOT(ISERROR(SEARCH(("Ts"),(EC8))))</formula>
    </cfRule>
  </conditionalFormatting>
  <conditionalFormatting sqref="EC12:FB12 FE12:FI12">
    <cfRule type="containsText" dxfId="6" priority="1150" operator="containsText" text="Ts">
      <formula>NOT(ISERROR(SEARCH(("Ts"),(EC12))))</formula>
    </cfRule>
  </conditionalFormatting>
  <conditionalFormatting sqref="EC12:FB12 FE12:FI12">
    <cfRule type="containsText" dxfId="7" priority="1151" operator="containsText" text="D">
      <formula>NOT(ISERROR(SEARCH(("D"),(EC12))))</formula>
    </cfRule>
  </conditionalFormatting>
  <conditionalFormatting sqref="EC12:FB12 FE12:FI12">
    <cfRule type="containsText" dxfId="8" priority="1152" operator="containsText" text="3">
      <formula>NOT(ISERROR(SEARCH(("3"),(EC12))))</formula>
    </cfRule>
  </conditionalFormatting>
  <conditionalFormatting sqref="EC12:FB12 FE12:FI12">
    <cfRule type="containsText" dxfId="9" priority="1153" operator="containsText" text="2">
      <formula>NOT(ISERROR(SEARCH(("2"),(EC12))))</formula>
    </cfRule>
  </conditionalFormatting>
  <conditionalFormatting sqref="EC12:FB12 FE12:FI12">
    <cfRule type="containsText" dxfId="10" priority="1154" operator="containsText" text="1">
      <formula>NOT(ISERROR(SEARCH(("1"),(EC12))))</formula>
    </cfRule>
  </conditionalFormatting>
  <conditionalFormatting sqref="EC15:FB15">
    <cfRule type="containsText" dxfId="11" priority="1155" operator="containsText" text="ex">
      <formula>NOT(ISERROR(SEARCH(("ex"),(EC15))))</formula>
    </cfRule>
  </conditionalFormatting>
  <conditionalFormatting sqref="EC22:FB22 FE22:FI22">
    <cfRule type="containsText" dxfId="6" priority="1156" operator="containsText" text="Ts">
      <formula>NOT(ISERROR(SEARCH(("Ts"),(EC22))))</formula>
    </cfRule>
  </conditionalFormatting>
  <conditionalFormatting sqref="EC22:FB22 FE22:FI22">
    <cfRule type="containsText" dxfId="7" priority="1157" operator="containsText" text="D">
      <formula>NOT(ISERROR(SEARCH(("D"),(EC22))))</formula>
    </cfRule>
  </conditionalFormatting>
  <conditionalFormatting sqref="EC22:FB22 FE22:FI22">
    <cfRule type="containsText" dxfId="8" priority="1158" operator="containsText" text="3">
      <formula>NOT(ISERROR(SEARCH(("3"),(EC22))))</formula>
    </cfRule>
  </conditionalFormatting>
  <conditionalFormatting sqref="EC22:FB22 FE22:FI22">
    <cfRule type="containsText" dxfId="9" priority="1159" operator="containsText" text="2">
      <formula>NOT(ISERROR(SEARCH(("2"),(EC22))))</formula>
    </cfRule>
  </conditionalFormatting>
  <conditionalFormatting sqref="EC22:FB22 FE22:FI22">
    <cfRule type="containsText" dxfId="10" priority="1160" operator="containsText" text="1">
      <formula>NOT(ISERROR(SEARCH(("1"),(EC22))))</formula>
    </cfRule>
  </conditionalFormatting>
  <conditionalFormatting sqref="EC22:FB22">
    <cfRule type="containsText" dxfId="4" priority="1161" operator="containsText" text="V A C A C">
      <formula>NOT(ISERROR(SEARCH(("V A C A C"),(EC22))))</formula>
    </cfRule>
  </conditionalFormatting>
  <conditionalFormatting sqref="EC22:FB22">
    <cfRule type="containsText" dxfId="4" priority="1162" operator="containsText" text="VACAC">
      <formula>NOT(ISERROR(SEARCH(("VACAC"),(EC22))))</formula>
    </cfRule>
  </conditionalFormatting>
  <conditionalFormatting sqref="EC24:FB24 FE24:FI24">
    <cfRule type="containsText" dxfId="7" priority="1163" operator="containsText" text="D">
      <formula>NOT(ISERROR(SEARCH(("D"),(EC24))))</formula>
    </cfRule>
  </conditionalFormatting>
  <conditionalFormatting sqref="EC24:FB24 FE24:FI24">
    <cfRule type="containsText" dxfId="8" priority="1164" operator="containsText" text="3">
      <formula>NOT(ISERROR(SEARCH(("3"),(EC24))))</formula>
    </cfRule>
  </conditionalFormatting>
  <conditionalFormatting sqref="EC24:FB24 FE24:FI24">
    <cfRule type="containsText" dxfId="9" priority="1165" operator="containsText" text="2">
      <formula>NOT(ISERROR(SEARCH(("2"),(EC24))))</formula>
    </cfRule>
  </conditionalFormatting>
  <conditionalFormatting sqref="EC24:FB24 FE24:FI24">
    <cfRule type="containsText" dxfId="10" priority="1166" operator="containsText" text="1">
      <formula>NOT(ISERROR(SEARCH(("1"),(EC24))))</formula>
    </cfRule>
  </conditionalFormatting>
  <conditionalFormatting sqref="EC24:FB24 FE24:FT24">
    <cfRule type="containsText" dxfId="6" priority="1167" operator="containsText" text="Ts">
      <formula>NOT(ISERROR(SEARCH(("Ts"),(EC24))))</formula>
    </cfRule>
  </conditionalFormatting>
  <conditionalFormatting sqref="EC24:FB24">
    <cfRule type="containsText" dxfId="4" priority="1168" operator="containsText" text="V A C A C">
      <formula>NOT(ISERROR(SEARCH(("V A C A C"),(EC24))))</formula>
    </cfRule>
  </conditionalFormatting>
  <conditionalFormatting sqref="EC24:FB24">
    <cfRule type="containsText" dxfId="4" priority="1169" operator="containsText" text="VACAC">
      <formula>NOT(ISERROR(SEARCH(("VACAC"),(EC24))))</formula>
    </cfRule>
  </conditionalFormatting>
  <conditionalFormatting sqref="EC26:FB26 FE26:FI26">
    <cfRule type="containsText" dxfId="6" priority="1170" operator="containsText" text="Ts">
      <formula>NOT(ISERROR(SEARCH(("Ts"),(EC26))))</formula>
    </cfRule>
  </conditionalFormatting>
  <conditionalFormatting sqref="EC27:FB27">
    <cfRule type="containsText" dxfId="11" priority="1171" operator="containsText" text="ex">
      <formula>NOT(ISERROR(SEARCH(("ex"),(EC27))))</formula>
    </cfRule>
  </conditionalFormatting>
  <conditionalFormatting sqref="EC28:FB28 FE28:FI28">
    <cfRule type="containsText" dxfId="6" priority="1172" operator="containsText" text="Ts">
      <formula>NOT(ISERROR(SEARCH(("Ts"),(EC28))))</formula>
    </cfRule>
  </conditionalFormatting>
  <conditionalFormatting sqref="EC28:FB28 FE28:FI28">
    <cfRule type="containsText" dxfId="7" priority="1173" operator="containsText" text="D">
      <formula>NOT(ISERROR(SEARCH(("D"),(EC28))))</formula>
    </cfRule>
  </conditionalFormatting>
  <conditionalFormatting sqref="EC28:FB28 FE28:FI28">
    <cfRule type="containsText" dxfId="8" priority="1174" operator="containsText" text="3">
      <formula>NOT(ISERROR(SEARCH(("3"),(EC28))))</formula>
    </cfRule>
  </conditionalFormatting>
  <conditionalFormatting sqref="EC28:FB28 FE28:FI28">
    <cfRule type="containsText" dxfId="9" priority="1175" operator="containsText" text="2">
      <formula>NOT(ISERROR(SEARCH(("2"),(EC28))))</formula>
    </cfRule>
  </conditionalFormatting>
  <conditionalFormatting sqref="EC28:FB28 FE28:FI28">
    <cfRule type="containsText" dxfId="10" priority="1176" operator="containsText" text="1">
      <formula>NOT(ISERROR(SEARCH(("1"),(EC28))))</formula>
    </cfRule>
  </conditionalFormatting>
  <conditionalFormatting sqref="EC29:FB29">
    <cfRule type="containsText" dxfId="5" priority="1177" operator="containsText" text="AP">
      <formula>NOT(ISERROR(SEARCH(("AP"),(EC29))))</formula>
    </cfRule>
  </conditionalFormatting>
  <conditionalFormatting sqref="EC30:FB30 FE30:FH30">
    <cfRule type="containsText" dxfId="8" priority="1178" operator="containsText" text="3">
      <formula>NOT(ISERROR(SEARCH(("3"),(EC30))))</formula>
    </cfRule>
  </conditionalFormatting>
  <conditionalFormatting sqref="EC30:FB30 FE30:FH30">
    <cfRule type="containsText" dxfId="9" priority="1179" operator="containsText" text="2">
      <formula>NOT(ISERROR(SEARCH(("2"),(EC30))))</formula>
    </cfRule>
  </conditionalFormatting>
  <conditionalFormatting sqref="EC30:FB30 FE30:FH30">
    <cfRule type="containsText" dxfId="10" priority="1180" operator="containsText" text="1">
      <formula>NOT(ISERROR(SEARCH(("1"),(EC30))))</formula>
    </cfRule>
  </conditionalFormatting>
  <conditionalFormatting sqref="EC30:FB31">
    <cfRule type="containsText" dxfId="5" priority="1181" operator="containsText" text="AP">
      <formula>NOT(ISERROR(SEARCH(("AP"),(EC30))))</formula>
    </cfRule>
  </conditionalFormatting>
  <conditionalFormatting sqref="EC32:FB32">
    <cfRule type="containsText" dxfId="4" priority="1182" operator="containsText" text="V A C A C">
      <formula>NOT(ISERROR(SEARCH(("V A C A C"),(EC32))))</formula>
    </cfRule>
  </conditionalFormatting>
  <conditionalFormatting sqref="EC32:FB32">
    <cfRule type="containsText" dxfId="4" priority="1183" operator="containsText" text="VACAC">
      <formula>NOT(ISERROR(SEARCH(("VACAC"),(EC32))))</formula>
    </cfRule>
  </conditionalFormatting>
  <conditionalFormatting sqref="EC32:FB32">
    <cfRule type="containsText" dxfId="6" priority="1184" operator="containsText" text="Ts">
      <formula>NOT(ISERROR(SEARCH(("Ts"),(EC32))))</formula>
    </cfRule>
  </conditionalFormatting>
  <conditionalFormatting sqref="EC32:FB32">
    <cfRule type="containsText" dxfId="7" priority="1185" operator="containsText" text="D">
      <formula>NOT(ISERROR(SEARCH(("D"),(EC32))))</formula>
    </cfRule>
  </conditionalFormatting>
  <conditionalFormatting sqref="EC32:FB32">
    <cfRule type="containsText" dxfId="8" priority="1186" operator="containsText" text="3">
      <formula>NOT(ISERROR(SEARCH(("3"),(EC32))))</formula>
    </cfRule>
  </conditionalFormatting>
  <conditionalFormatting sqref="EC32:FB32">
    <cfRule type="containsText" dxfId="9" priority="1187" operator="containsText" text="2">
      <formula>NOT(ISERROR(SEARCH(("2"),(EC32))))</formula>
    </cfRule>
  </conditionalFormatting>
  <conditionalFormatting sqref="EC32:FB32">
    <cfRule type="containsText" dxfId="10" priority="1188" operator="containsText" text="1">
      <formula>NOT(ISERROR(SEARCH(("1"),(EC32))))</formula>
    </cfRule>
  </conditionalFormatting>
  <conditionalFormatting sqref="EC33:FB33 FE32:FI33">
    <cfRule type="containsText" dxfId="5" priority="1189" operator="containsText" text="AP">
      <formula>NOT(ISERROR(SEARCH(("AP"),(EC33))))</formula>
    </cfRule>
  </conditionalFormatting>
  <conditionalFormatting sqref="EC34:FB34">
    <cfRule type="containsText" dxfId="4" priority="1190" operator="containsText" text="V A C A C">
      <formula>NOT(ISERROR(SEARCH(("V A C A C"),(EC34))))</formula>
    </cfRule>
  </conditionalFormatting>
  <conditionalFormatting sqref="EC34:FB34">
    <cfRule type="containsText" dxfId="4" priority="1191" operator="containsText" text="VACAC">
      <formula>NOT(ISERROR(SEARCH(("VACAC"),(EC34))))</formula>
    </cfRule>
  </conditionalFormatting>
  <conditionalFormatting sqref="EC34:FB34">
    <cfRule type="containsText" dxfId="6" priority="1192" operator="containsText" text="Ts">
      <formula>NOT(ISERROR(SEARCH(("Ts"),(EC34))))</formula>
    </cfRule>
  </conditionalFormatting>
  <conditionalFormatting sqref="EC34:FB34">
    <cfRule type="containsText" dxfId="7" priority="1193" operator="containsText" text="D">
      <formula>NOT(ISERROR(SEARCH(("D"),(EC34))))</formula>
    </cfRule>
  </conditionalFormatting>
  <conditionalFormatting sqref="EC34:FB34">
    <cfRule type="containsText" dxfId="8" priority="1194" operator="containsText" text="3">
      <formula>NOT(ISERROR(SEARCH(("3"),(EC34))))</formula>
    </cfRule>
  </conditionalFormatting>
  <conditionalFormatting sqref="EC34:FB34">
    <cfRule type="containsText" dxfId="9" priority="1195" operator="containsText" text="2">
      <formula>NOT(ISERROR(SEARCH(("2"),(EC34))))</formula>
    </cfRule>
  </conditionalFormatting>
  <conditionalFormatting sqref="EC34:FB34">
    <cfRule type="containsText" dxfId="10" priority="1196" operator="containsText" text="1">
      <formula>NOT(ISERROR(SEARCH(("1"),(EC34))))</formula>
    </cfRule>
  </conditionalFormatting>
  <conditionalFormatting sqref="EC35:FB35 FE35:FV35">
    <cfRule type="containsText" dxfId="5" priority="1197" operator="containsText" text="AP">
      <formula>NOT(ISERROR(SEARCH(("AP"),(EC35))))</formula>
    </cfRule>
  </conditionalFormatting>
  <conditionalFormatting sqref="EC35:FB35">
    <cfRule type="containsText" dxfId="11" priority="1198" operator="containsText" text="ex">
      <formula>NOT(ISERROR(SEARCH(("ex"),(EC35))))</formula>
    </cfRule>
  </conditionalFormatting>
  <conditionalFormatting sqref="EC35:FB35">
    <cfRule type="containsText" dxfId="5" priority="1199" operator="containsText" text="AP">
      <formula>NOT(ISERROR(SEARCH(("AP"),(EC35))))</formula>
    </cfRule>
  </conditionalFormatting>
  <conditionalFormatting sqref="EC37:FB37">
    <cfRule type="containsText" dxfId="11" priority="1200" operator="containsText" text="ex">
      <formula>NOT(ISERROR(SEARCH(("ex"),(EC37))))</formula>
    </cfRule>
  </conditionalFormatting>
  <conditionalFormatting sqref="EC37:FB37">
    <cfRule type="containsText" dxfId="5" priority="1201" operator="containsText" text="AP">
      <formula>NOT(ISERROR(SEARCH(("AP"),(EC37))))</formula>
    </cfRule>
  </conditionalFormatting>
  <conditionalFormatting sqref="EC4:FD4">
    <cfRule type="containsText" dxfId="7" priority="1202" operator="containsText" text="D">
      <formula>NOT(ISERROR(SEARCH(("D"),(EC4))))</formula>
    </cfRule>
  </conditionalFormatting>
  <conditionalFormatting sqref="EC4:FD4">
    <cfRule type="containsText" dxfId="10" priority="1203" operator="containsText" text="L">
      <formula>NOT(ISERROR(SEARCH(("L"),(EC4))))</formula>
    </cfRule>
  </conditionalFormatting>
  <conditionalFormatting sqref="EE24:EG24">
    <cfRule type="containsText" dxfId="6" priority="1204" operator="containsText" text="Ts">
      <formula>NOT(ISERROR(SEARCH(("Ts"),(EE24))))</formula>
    </cfRule>
  </conditionalFormatting>
  <conditionalFormatting sqref="EE24:EG24">
    <cfRule type="containsText" dxfId="7" priority="1205" operator="containsText" text="D">
      <formula>NOT(ISERROR(SEARCH(("D"),(EE24))))</formula>
    </cfRule>
  </conditionalFormatting>
  <conditionalFormatting sqref="EE24:EG24">
    <cfRule type="containsText" dxfId="8" priority="1206" operator="containsText" text="3">
      <formula>NOT(ISERROR(SEARCH(("3"),(EE24))))</formula>
    </cfRule>
  </conditionalFormatting>
  <conditionalFormatting sqref="EE24:EG24">
    <cfRule type="containsText" dxfId="9" priority="1207" operator="containsText" text="2">
      <formula>NOT(ISERROR(SEARCH(("2"),(EE24))))</formula>
    </cfRule>
  </conditionalFormatting>
  <conditionalFormatting sqref="EE24:EG24">
    <cfRule type="containsText" dxfId="10" priority="1208" operator="containsText" text="1">
      <formula>NOT(ISERROR(SEARCH(("1"),(EE24))))</formula>
    </cfRule>
  </conditionalFormatting>
  <conditionalFormatting sqref="EE24:EG24">
    <cfRule type="containsText" dxfId="4" priority="1209" operator="containsText" text="V A C A C">
      <formula>NOT(ISERROR(SEARCH(("V A C A C"),(EE24))))</formula>
    </cfRule>
  </conditionalFormatting>
  <conditionalFormatting sqref="EE24:EG24">
    <cfRule type="containsText" dxfId="4" priority="1210" operator="containsText" text="VACAC">
      <formula>NOT(ISERROR(SEARCH(("VACAC"),(EE24))))</formula>
    </cfRule>
  </conditionalFormatting>
  <conditionalFormatting sqref="EE24:EG24">
    <cfRule type="containsText" dxfId="6" priority="1211" operator="containsText" text="Ts">
      <formula>NOT(ISERROR(SEARCH(("Ts"),(EE24))))</formula>
    </cfRule>
  </conditionalFormatting>
  <conditionalFormatting sqref="EE24:EG24">
    <cfRule type="containsText" dxfId="7" priority="1212" operator="containsText" text="D">
      <formula>NOT(ISERROR(SEARCH(("D"),(EE24))))</formula>
    </cfRule>
  </conditionalFormatting>
  <conditionalFormatting sqref="EE24:EG24">
    <cfRule type="containsText" dxfId="8" priority="1213" operator="containsText" text="3">
      <formula>NOT(ISERROR(SEARCH(("3"),(EE24))))</formula>
    </cfRule>
  </conditionalFormatting>
  <conditionalFormatting sqref="EE24:EG24">
    <cfRule type="containsText" dxfId="9" priority="1214" operator="containsText" text="2">
      <formula>NOT(ISERROR(SEARCH(("2"),(EE24))))</formula>
    </cfRule>
  </conditionalFormatting>
  <conditionalFormatting sqref="EE24:EG24">
    <cfRule type="containsText" dxfId="10" priority="1215" operator="containsText" text="1">
      <formula>NOT(ISERROR(SEARCH(("1"),(EE24))))</formula>
    </cfRule>
  </conditionalFormatting>
  <conditionalFormatting sqref="EE24:EG24">
    <cfRule type="containsText" dxfId="6" priority="1216" operator="containsText" text="Ts">
      <formula>NOT(ISERROR(SEARCH(("Ts"),(EE24))))</formula>
    </cfRule>
  </conditionalFormatting>
  <conditionalFormatting sqref="EE24:EG24">
    <cfRule type="containsText" dxfId="7" priority="1217" operator="containsText" text="D">
      <formula>NOT(ISERROR(SEARCH(("D"),(EE24))))</formula>
    </cfRule>
  </conditionalFormatting>
  <conditionalFormatting sqref="EE24:EG24">
    <cfRule type="containsText" dxfId="8" priority="1218" operator="containsText" text="3">
      <formula>NOT(ISERROR(SEARCH(("3"),(EE24))))</formula>
    </cfRule>
  </conditionalFormatting>
  <conditionalFormatting sqref="EE24:EG24">
    <cfRule type="containsText" dxfId="9" priority="1219" operator="containsText" text="2">
      <formula>NOT(ISERROR(SEARCH(("2"),(EE24))))</formula>
    </cfRule>
  </conditionalFormatting>
  <conditionalFormatting sqref="EE24:EG24">
    <cfRule type="containsText" dxfId="10" priority="1220" operator="containsText" text="1">
      <formula>NOT(ISERROR(SEARCH(("1"),(EE24))))</formula>
    </cfRule>
  </conditionalFormatting>
  <conditionalFormatting sqref="EH32:FB32">
    <cfRule type="containsText" dxfId="5" priority="1221" operator="containsText" text="AP">
      <formula>NOT(ISERROR(SEARCH(("AP"),(EH32))))</formula>
    </cfRule>
  </conditionalFormatting>
  <conditionalFormatting sqref="EH34:FB34">
    <cfRule type="containsText" dxfId="5" priority="1222" operator="containsText" text="AP">
      <formula>NOT(ISERROR(SEARCH(("AP"),(EH34))))</formula>
    </cfRule>
  </conditionalFormatting>
  <conditionalFormatting sqref="EL18:EN18">
    <cfRule type="containsText" dxfId="4" priority="1223" operator="containsText" text="V A C A C">
      <formula>NOT(ISERROR(SEARCH(("V A C A C"),(EL18))))</formula>
    </cfRule>
  </conditionalFormatting>
  <conditionalFormatting sqref="EL18:EN18">
    <cfRule type="containsText" dxfId="4" priority="1224" operator="containsText" text="VACAC">
      <formula>NOT(ISERROR(SEARCH(("VACAC"),(EL18))))</formula>
    </cfRule>
  </conditionalFormatting>
  <conditionalFormatting sqref="EL18:EN18">
    <cfRule type="containsText" dxfId="6" priority="1225" operator="containsText" text="Ts">
      <formula>NOT(ISERROR(SEARCH(("Ts"),(EL18))))</formula>
    </cfRule>
  </conditionalFormatting>
  <conditionalFormatting sqref="EL18:EN18">
    <cfRule type="containsText" dxfId="7" priority="1226" operator="containsText" text="D">
      <formula>NOT(ISERROR(SEARCH(("D"),(EL18))))</formula>
    </cfRule>
  </conditionalFormatting>
  <conditionalFormatting sqref="EL18:EN18">
    <cfRule type="containsText" dxfId="8" priority="1227" operator="containsText" text="3">
      <formula>NOT(ISERROR(SEARCH(("3"),(EL18))))</formula>
    </cfRule>
  </conditionalFormatting>
  <conditionalFormatting sqref="EL18:EN18">
    <cfRule type="containsText" dxfId="9" priority="1228" operator="containsText" text="2">
      <formula>NOT(ISERROR(SEARCH(("2"),(EL18))))</formula>
    </cfRule>
  </conditionalFormatting>
  <conditionalFormatting sqref="EL18:EN18">
    <cfRule type="containsText" dxfId="10" priority="1229" operator="containsText" text="1">
      <formula>NOT(ISERROR(SEARCH(("1"),(EL18))))</formula>
    </cfRule>
  </conditionalFormatting>
  <conditionalFormatting sqref="EL6:FB6">
    <cfRule type="containsText" dxfId="4" priority="1230" operator="containsText" text="V A C A C">
      <formula>NOT(ISERROR(SEARCH(("V A C A C"),(EL6))))</formula>
    </cfRule>
  </conditionalFormatting>
  <conditionalFormatting sqref="EL6:FB6">
    <cfRule type="containsText" dxfId="4" priority="1231" operator="containsText" text="VACAC">
      <formula>NOT(ISERROR(SEARCH(("VACAC"),(EL6))))</formula>
    </cfRule>
  </conditionalFormatting>
  <conditionalFormatting sqref="EL6:FB6">
    <cfRule type="containsText" dxfId="6" priority="1232" operator="containsText" text="Ts">
      <formula>NOT(ISERROR(SEARCH(("Ts"),(EL6))))</formula>
    </cfRule>
  </conditionalFormatting>
  <conditionalFormatting sqref="EL6:FB6">
    <cfRule type="containsText" dxfId="7" priority="1233" operator="containsText" text="D">
      <formula>NOT(ISERROR(SEARCH(("D"),(EL6))))</formula>
    </cfRule>
  </conditionalFormatting>
  <conditionalFormatting sqref="EL6:FB6">
    <cfRule type="containsText" dxfId="8" priority="1234" operator="containsText" text="3">
      <formula>NOT(ISERROR(SEARCH(("3"),(EL6))))</formula>
    </cfRule>
  </conditionalFormatting>
  <conditionalFormatting sqref="EL6:FB6">
    <cfRule type="containsText" dxfId="9" priority="1235" operator="containsText" text="2">
      <formula>NOT(ISERROR(SEARCH(("2"),(EL6))))</formula>
    </cfRule>
  </conditionalFormatting>
  <conditionalFormatting sqref="EL6:FB6">
    <cfRule type="containsText" dxfId="10" priority="1236" operator="containsText" text="1">
      <formula>NOT(ISERROR(SEARCH(("1"),(EL6))))</formula>
    </cfRule>
  </conditionalFormatting>
  <conditionalFormatting sqref="EM34:EO34 EQ34:FB34">
    <cfRule type="containsText" dxfId="10" priority="1237" operator="containsText" text="L">
      <formula>NOT(ISERROR(SEARCH(("L"),(EM34))))</formula>
    </cfRule>
  </conditionalFormatting>
  <conditionalFormatting sqref="EM36:EO36 EQ36:FB36">
    <cfRule type="containsText" dxfId="10" priority="1238" operator="containsText" text="L">
      <formula>NOT(ISERROR(SEARCH(("L"),(EM36))))</formula>
    </cfRule>
  </conditionalFormatting>
  <conditionalFormatting sqref="EM34:FB34 FE34:FI34">
    <cfRule type="containsText" dxfId="7" priority="1239" operator="containsText" text="D">
      <formula>NOT(ISERROR(SEARCH(("D"),(EM34))))</formula>
    </cfRule>
  </conditionalFormatting>
  <conditionalFormatting sqref="EM36:FB36">
    <cfRule type="containsText" dxfId="7" priority="1240" operator="containsText" text="D">
      <formula>NOT(ISERROR(SEARCH(("D"),(EM36))))</formula>
    </cfRule>
  </conditionalFormatting>
  <conditionalFormatting sqref="EN34:EP34">
    <cfRule type="containsText" dxfId="4" priority="1241" operator="containsText" text="V A C A C">
      <formula>NOT(ISERROR(SEARCH(("V A C A C"),(EN34))))</formula>
    </cfRule>
  </conditionalFormatting>
  <conditionalFormatting sqref="EN34:EP34">
    <cfRule type="containsText" dxfId="4" priority="1242" operator="containsText" text="VACAC">
      <formula>NOT(ISERROR(SEARCH(("VACAC"),(EN34))))</formula>
    </cfRule>
  </conditionalFormatting>
  <conditionalFormatting sqref="EN34:EP34">
    <cfRule type="containsText" dxfId="5" priority="1243" operator="containsText" text="AP">
      <formula>NOT(ISERROR(SEARCH(("AP"),(EN34))))</formula>
    </cfRule>
  </conditionalFormatting>
  <conditionalFormatting sqref="EN34:EP34">
    <cfRule type="containsText" dxfId="6" priority="1244" operator="containsText" text="Ts">
      <formula>NOT(ISERROR(SEARCH(("Ts"),(EN34))))</formula>
    </cfRule>
  </conditionalFormatting>
  <conditionalFormatting sqref="EN34:EP34">
    <cfRule type="containsText" dxfId="8" priority="1245" operator="containsText" text="3">
      <formula>NOT(ISERROR(SEARCH(("3"),(EN34))))</formula>
    </cfRule>
  </conditionalFormatting>
  <conditionalFormatting sqref="EN34:EP34">
    <cfRule type="containsText" dxfId="9" priority="1246" operator="containsText" text="2">
      <formula>NOT(ISERROR(SEARCH(("2"),(EN34))))</formula>
    </cfRule>
  </conditionalFormatting>
  <conditionalFormatting sqref="EN34:EP34">
    <cfRule type="containsText" dxfId="10" priority="1247" operator="containsText" text="1">
      <formula>NOT(ISERROR(SEARCH(("1"),(EN34))))</formula>
    </cfRule>
  </conditionalFormatting>
  <conditionalFormatting sqref="EN36:EP36">
    <cfRule type="containsText" dxfId="4" priority="1248" operator="containsText" text="V A C A C">
      <formula>NOT(ISERROR(SEARCH(("V A C A C"),(EN36))))</formula>
    </cfRule>
  </conditionalFormatting>
  <conditionalFormatting sqref="EN36:EP36">
    <cfRule type="containsText" dxfId="4" priority="1249" operator="containsText" text="VACAC">
      <formula>NOT(ISERROR(SEARCH(("VACAC"),(EN36))))</formula>
    </cfRule>
  </conditionalFormatting>
  <conditionalFormatting sqref="EN36:EP36">
    <cfRule type="containsText" dxfId="5" priority="1250" operator="containsText" text="AP">
      <formula>NOT(ISERROR(SEARCH(("AP"),(EN36))))</formula>
    </cfRule>
  </conditionalFormatting>
  <conditionalFormatting sqref="EN36:EP36">
    <cfRule type="containsText" dxfId="6" priority="1251" operator="containsText" text="Ts">
      <formula>NOT(ISERROR(SEARCH(("Ts"),(EN36))))</formula>
    </cfRule>
  </conditionalFormatting>
  <conditionalFormatting sqref="EN36:EP36">
    <cfRule type="containsText" dxfId="8" priority="1252" operator="containsText" text="3">
      <formula>NOT(ISERROR(SEARCH(("3"),(EN36))))</formula>
    </cfRule>
  </conditionalFormatting>
  <conditionalFormatting sqref="EN36:EP36">
    <cfRule type="containsText" dxfId="9" priority="1253" operator="containsText" text="2">
      <formula>NOT(ISERROR(SEARCH(("2"),(EN36))))</formula>
    </cfRule>
  </conditionalFormatting>
  <conditionalFormatting sqref="EN36:EP36">
    <cfRule type="containsText" dxfId="10" priority="1254" operator="containsText" text="1">
      <formula>NOT(ISERROR(SEARCH(("1"),(EN36))))</formula>
    </cfRule>
  </conditionalFormatting>
  <conditionalFormatting sqref="EN14:FB14 FE14:FI14">
    <cfRule type="containsText" dxfId="6" priority="1255" operator="containsText" text="Ts">
      <formula>NOT(ISERROR(SEARCH(("Ts"),(EN14))))</formula>
    </cfRule>
  </conditionalFormatting>
  <conditionalFormatting sqref="EN14:FB14 FE14:FI14">
    <cfRule type="containsText" dxfId="7" priority="1256" operator="containsText" text="D">
      <formula>NOT(ISERROR(SEARCH(("D"),(EN14))))</formula>
    </cfRule>
  </conditionalFormatting>
  <conditionalFormatting sqref="EN14:FB14 FE14:FI14">
    <cfRule type="containsText" dxfId="8" priority="1257" operator="containsText" text="3">
      <formula>NOT(ISERROR(SEARCH(("3"),(EN14))))</formula>
    </cfRule>
  </conditionalFormatting>
  <conditionalFormatting sqref="EN14:FB14 FE14:FI14">
    <cfRule type="containsText" dxfId="9" priority="1258" operator="containsText" text="2">
      <formula>NOT(ISERROR(SEARCH(("2"),(EN14))))</formula>
    </cfRule>
  </conditionalFormatting>
  <conditionalFormatting sqref="EN14:FB14 FE14:FI14">
    <cfRule type="containsText" dxfId="10" priority="1259" operator="containsText" text="1">
      <formula>NOT(ISERROR(SEARCH(("1"),(EN14))))</formula>
    </cfRule>
  </conditionalFormatting>
  <conditionalFormatting sqref="ES20:EU20">
    <cfRule type="containsText" dxfId="4" priority="1260" operator="containsText" text="V A C A C">
      <formula>NOT(ISERROR(SEARCH(("V A C A C"),(ES20))))</formula>
    </cfRule>
  </conditionalFormatting>
  <conditionalFormatting sqref="ES20:EU20">
    <cfRule type="containsText" dxfId="4" priority="1261" operator="containsText" text="VACAC">
      <formula>NOT(ISERROR(SEARCH(("VACAC"),(ES20))))</formula>
    </cfRule>
  </conditionalFormatting>
  <conditionalFormatting sqref="ES20:EU20">
    <cfRule type="containsText" dxfId="6" priority="1262" operator="containsText" text="Ts">
      <formula>NOT(ISERROR(SEARCH(("Ts"),(ES20))))</formula>
    </cfRule>
  </conditionalFormatting>
  <conditionalFormatting sqref="ES20:EU20">
    <cfRule type="containsText" dxfId="7" priority="1263" operator="containsText" text="D">
      <formula>NOT(ISERROR(SEARCH(("D"),(ES20))))</formula>
    </cfRule>
  </conditionalFormatting>
  <conditionalFormatting sqref="ES20:EU20">
    <cfRule type="containsText" dxfId="8" priority="1264" operator="containsText" text="3">
      <formula>NOT(ISERROR(SEARCH(("3"),(ES20))))</formula>
    </cfRule>
  </conditionalFormatting>
  <conditionalFormatting sqref="ES20:EU20">
    <cfRule type="containsText" dxfId="10" priority="1265" operator="containsText" text="1">
      <formula>NOT(ISERROR(SEARCH(("1"),(ES20))))</formula>
    </cfRule>
  </conditionalFormatting>
  <conditionalFormatting sqref="ES20:EU20">
    <cfRule type="containsText" dxfId="9" priority="1266" operator="containsText" text="2">
      <formula>NOT(ISERROR(SEARCH(("2"),(ES20))))</formula>
    </cfRule>
  </conditionalFormatting>
  <conditionalFormatting sqref="EX20:EZ20">
    <cfRule type="containsText" dxfId="4" priority="1267" operator="containsText" text="V A C A C">
      <formula>NOT(ISERROR(SEARCH(("V A C A C"),(EX20))))</formula>
    </cfRule>
  </conditionalFormatting>
  <conditionalFormatting sqref="EX20:EZ20">
    <cfRule type="containsText" dxfId="4" priority="1268" operator="containsText" text="VACAC">
      <formula>NOT(ISERROR(SEARCH(("VACAC"),(EX20))))</formula>
    </cfRule>
  </conditionalFormatting>
  <conditionalFormatting sqref="EX20:EZ20">
    <cfRule type="containsText" dxfId="6" priority="1269" operator="containsText" text="Ts">
      <formula>NOT(ISERROR(SEARCH(("Ts"),(EX20))))</formula>
    </cfRule>
  </conditionalFormatting>
  <conditionalFormatting sqref="EX20:EZ20">
    <cfRule type="containsText" dxfId="7" priority="1270" operator="containsText" text="D">
      <formula>NOT(ISERROR(SEARCH(("D"),(EX20))))</formula>
    </cfRule>
  </conditionalFormatting>
  <conditionalFormatting sqref="EX20:EZ20">
    <cfRule type="containsText" dxfId="8" priority="1271" operator="containsText" text="3">
      <formula>NOT(ISERROR(SEARCH(("3"),(EX20))))</formula>
    </cfRule>
  </conditionalFormatting>
  <conditionalFormatting sqref="EX20:EZ20">
    <cfRule type="containsText" dxfId="9" priority="1272" operator="containsText" text="2">
      <formula>NOT(ISERROR(SEARCH(("2"),(EX20))))</formula>
    </cfRule>
  </conditionalFormatting>
  <conditionalFormatting sqref="EX20:EZ20">
    <cfRule type="containsText" dxfId="10" priority="1273" operator="containsText" text="1">
      <formula>NOT(ISERROR(SEARCH(("1"),(EX20))))</formula>
    </cfRule>
  </conditionalFormatting>
  <conditionalFormatting sqref="EZ10:FB10">
    <cfRule type="containsText" dxfId="6" priority="1274" operator="containsText" text="Ts">
      <formula>NOT(ISERROR(SEARCH(("Ts"),(EZ10))))</formula>
    </cfRule>
  </conditionalFormatting>
  <conditionalFormatting sqref="EZ10:FB10">
    <cfRule type="containsText" dxfId="7" priority="1275" operator="containsText" text="D">
      <formula>NOT(ISERROR(SEARCH(("D"),(EZ10))))</formula>
    </cfRule>
  </conditionalFormatting>
  <conditionalFormatting sqref="EZ10:FB10">
    <cfRule type="containsText" dxfId="8" priority="1276" operator="containsText" text="3">
      <formula>NOT(ISERROR(SEARCH(("3"),(EZ10))))</formula>
    </cfRule>
  </conditionalFormatting>
  <conditionalFormatting sqref="EZ10:FB10">
    <cfRule type="containsText" dxfId="9" priority="1277" operator="containsText" text="2">
      <formula>NOT(ISERROR(SEARCH(("2"),(EZ10))))</formula>
    </cfRule>
  </conditionalFormatting>
  <conditionalFormatting sqref="EZ10:FB10">
    <cfRule type="containsText" dxfId="10" priority="1278" operator="containsText" text="1">
      <formula>NOT(ISERROR(SEARCH(("1"),(EZ10))))</formula>
    </cfRule>
  </conditionalFormatting>
  <conditionalFormatting sqref="FC4:OE4">
    <cfRule type="containsText" dxfId="7" priority="1279" operator="containsText" text="D">
      <formula>NOT(ISERROR(SEARCH(("D"),(FC4))))</formula>
    </cfRule>
  </conditionalFormatting>
  <conditionalFormatting sqref="FC4:OE4">
    <cfRule type="containsText" dxfId="10" priority="1280" operator="containsText" text="L">
      <formula>NOT(ISERROR(SEARCH(("L"),(FC4))))</formula>
    </cfRule>
  </conditionalFormatting>
  <conditionalFormatting sqref="FE6">
    <cfRule type="containsText" dxfId="10" priority="1281" operator="containsText" text="L">
      <formula>NOT(ISERROR(SEARCH(("L"),(FE6))))</formula>
    </cfRule>
  </conditionalFormatting>
  <conditionalFormatting sqref="EC18:FB18 FE18:FG18">
    <cfRule type="containsText" dxfId="10" priority="1282" operator="containsText" text="1">
      <formula>NOT(ISERROR(SEARCH(("1"),(EC18))))</formula>
    </cfRule>
  </conditionalFormatting>
  <conditionalFormatting sqref="FE20:FG20">
    <cfRule type="containsText" dxfId="4" priority="1283" operator="containsText" text="V A C A C">
      <formula>NOT(ISERROR(SEARCH(("V A C A C"),(FE20))))</formula>
    </cfRule>
  </conditionalFormatting>
  <conditionalFormatting sqref="FE20:FG20">
    <cfRule type="containsText" dxfId="4" priority="1284" operator="containsText" text="VACAC">
      <formula>NOT(ISERROR(SEARCH(("VACAC"),(FE20))))</formula>
    </cfRule>
  </conditionalFormatting>
  <conditionalFormatting sqref="FE20:FG20">
    <cfRule type="containsText" dxfId="6" priority="1285" operator="containsText" text="Ts">
      <formula>NOT(ISERROR(SEARCH(("Ts"),(FE20))))</formula>
    </cfRule>
  </conditionalFormatting>
  <conditionalFormatting sqref="FE20:FG20">
    <cfRule type="containsText" dxfId="7" priority="1286" operator="containsText" text="D">
      <formula>NOT(ISERROR(SEARCH(("D"),(FE20))))</formula>
    </cfRule>
  </conditionalFormatting>
  <conditionalFormatting sqref="FE20:FG20">
    <cfRule type="containsText" dxfId="8" priority="1287" operator="containsText" text="3">
      <formula>NOT(ISERROR(SEARCH(("3"),(FE20))))</formula>
    </cfRule>
  </conditionalFormatting>
  <conditionalFormatting sqref="FE20:FG20">
    <cfRule type="containsText" dxfId="10" priority="1288" operator="containsText" text="1">
      <formula>NOT(ISERROR(SEARCH(("1"),(FE20))))</formula>
    </cfRule>
  </conditionalFormatting>
  <conditionalFormatting sqref="FE16:FH16">
    <cfRule type="containsText" dxfId="6" priority="1289" operator="containsText" text="Ts">
      <formula>NOT(ISERROR(SEARCH(("Ts"),(FE16))))</formula>
    </cfRule>
  </conditionalFormatting>
  <conditionalFormatting sqref="FE16:FH16">
    <cfRule type="containsText" dxfId="7" priority="1290" operator="containsText" text="D">
      <formula>NOT(ISERROR(SEARCH(("D"),(FE16))))</formula>
    </cfRule>
  </conditionalFormatting>
  <conditionalFormatting sqref="FE16:FH16">
    <cfRule type="containsText" dxfId="8" priority="1291" operator="containsText" text="3">
      <formula>NOT(ISERROR(SEARCH(("3"),(FE16))))</formula>
    </cfRule>
  </conditionalFormatting>
  <conditionalFormatting sqref="FE16:FH16">
    <cfRule type="containsText" dxfId="9" priority="1292" operator="containsText" text="2">
      <formula>NOT(ISERROR(SEARCH(("2"),(FE16))))</formula>
    </cfRule>
  </conditionalFormatting>
  <conditionalFormatting sqref="FE16:FH16">
    <cfRule type="containsText" dxfId="10" priority="1293" operator="containsText" text="1">
      <formula>NOT(ISERROR(SEARCH(("1"),(FE16))))</formula>
    </cfRule>
  </conditionalFormatting>
  <conditionalFormatting sqref="FE16:FG17 FE18:FH18">
    <cfRule type="containsText" dxfId="5" priority="1294" operator="containsText" text="AP">
      <formula>NOT(ISERROR(SEARCH(("AP"),(FE16))))</formula>
    </cfRule>
  </conditionalFormatting>
  <conditionalFormatting sqref="EC30:FB30 FE30:FH30">
    <cfRule type="containsText" dxfId="7" priority="1295" operator="containsText" text="D">
      <formula>NOT(ISERROR(SEARCH(("D"),(EC30))))</formula>
    </cfRule>
  </conditionalFormatting>
  <conditionalFormatting sqref="FE30:FH30">
    <cfRule type="containsText" dxfId="6" priority="1296" operator="containsText" text="Ts">
      <formula>NOT(ISERROR(SEARCH(("Ts"),(FE30))))</formula>
    </cfRule>
  </conditionalFormatting>
  <conditionalFormatting sqref="FE7:FI7">
    <cfRule type="containsText" dxfId="11" priority="1297" operator="containsText" text="ex">
      <formula>NOT(ISERROR(SEARCH(("ex"),(FE7))))</formula>
    </cfRule>
  </conditionalFormatting>
  <conditionalFormatting sqref="FE7:FI7">
    <cfRule type="containsText" dxfId="5" priority="1298" operator="containsText" text="AP">
      <formula>NOT(ISERROR(SEARCH(("AP"),(FE7))))</formula>
    </cfRule>
  </conditionalFormatting>
  <conditionalFormatting sqref="FE8:FI15">
    <cfRule type="containsText" dxfId="5" priority="1299" operator="containsText" text="AP">
      <formula>NOT(ISERROR(SEARCH(("AP"),(FE8))))</formula>
    </cfRule>
  </conditionalFormatting>
  <conditionalFormatting sqref="EC28:FB28 FE19:FI29">
    <cfRule type="containsText" dxfId="5" priority="1300" operator="containsText" text="AP">
      <formula>NOT(ISERROR(SEARCH(("AP"),(EC28))))</formula>
    </cfRule>
  </conditionalFormatting>
  <conditionalFormatting sqref="FE20:FI20">
    <cfRule type="containsText" dxfId="9" priority="1301" operator="containsText" text="2">
      <formula>NOT(ISERROR(SEARCH(("2"),(FE20))))</formula>
    </cfRule>
  </conditionalFormatting>
  <conditionalFormatting sqref="FE6:FK6">
    <cfRule type="containsText" dxfId="7" priority="1302" operator="containsText" text="D">
      <formula>NOT(ISERROR(SEARCH(("D"),(FE6))))</formula>
    </cfRule>
  </conditionalFormatting>
  <conditionalFormatting sqref="FE34:FL34">
    <cfRule type="containsText" dxfId="10" priority="1303" operator="containsText" text="L">
      <formula>NOT(ISERROR(SEARCH(("L"),(FE34))))</formula>
    </cfRule>
  </conditionalFormatting>
  <conditionalFormatting sqref="FE10:FT10">
    <cfRule type="containsText" dxfId="6" priority="1304" operator="containsText" text="Ts">
      <formula>NOT(ISERROR(SEARCH(("Ts"),(FE10))))</formula>
    </cfRule>
  </conditionalFormatting>
  <conditionalFormatting sqref="FE10:FT10">
    <cfRule type="containsText" dxfId="7" priority="1305" operator="containsText" text="D">
      <formula>NOT(ISERROR(SEARCH(("D"),(FE10))))</formula>
    </cfRule>
  </conditionalFormatting>
  <conditionalFormatting sqref="FE10:FT10">
    <cfRule type="containsText" dxfId="8" priority="1306" operator="containsText" text="3">
      <formula>NOT(ISERROR(SEARCH(("3"),(FE10))))</formula>
    </cfRule>
  </conditionalFormatting>
  <conditionalFormatting sqref="FE10:FT10">
    <cfRule type="containsText" dxfId="9" priority="1307" operator="containsText" text="2">
      <formula>NOT(ISERROR(SEARCH(("2"),(FE10))))</formula>
    </cfRule>
  </conditionalFormatting>
  <conditionalFormatting sqref="FE10:FT10">
    <cfRule type="containsText" dxfId="10" priority="1308" operator="containsText" text="1">
      <formula>NOT(ISERROR(SEARCH(("1"),(FE10))))</formula>
    </cfRule>
  </conditionalFormatting>
  <conditionalFormatting sqref="FE16:GB16">
    <cfRule type="containsText" dxfId="4" priority="1309" operator="containsText" text="V A C A C">
      <formula>NOT(ISERROR(SEARCH(("V A C A C"),(FE16))))</formula>
    </cfRule>
  </conditionalFormatting>
  <conditionalFormatting sqref="FE16:GB16">
    <cfRule type="containsText" dxfId="4" priority="1310" operator="containsText" text="VACAC">
      <formula>NOT(ISERROR(SEARCH(("VACAC"),(FE16))))</formula>
    </cfRule>
  </conditionalFormatting>
  <conditionalFormatting sqref="FE17:GB17 GD17:GM17">
    <cfRule type="containsText" dxfId="11" priority="1311" operator="containsText" text="ex">
      <formula>NOT(ISERROR(SEARCH(("ex"),(FE17))))</formula>
    </cfRule>
  </conditionalFormatting>
  <conditionalFormatting sqref="FE30:GC30">
    <cfRule type="containsText" dxfId="5" priority="1312" operator="containsText" text="AP">
      <formula>NOT(ISERROR(SEARCH(("AP"),(FE30))))</formula>
    </cfRule>
  </conditionalFormatting>
  <conditionalFormatting sqref="FE14:GG14">
    <cfRule type="containsText" dxfId="4" priority="1313" operator="containsText" text="V A C A C">
      <formula>NOT(ISERROR(SEARCH(("V A C A C"),(FE14))))</formula>
    </cfRule>
  </conditionalFormatting>
  <conditionalFormatting sqref="FE14:GG14">
    <cfRule type="containsText" dxfId="4" priority="1314" operator="containsText" text="VACAC">
      <formula>NOT(ISERROR(SEARCH(("VACAC"),(FE14))))</formula>
    </cfRule>
  </conditionalFormatting>
  <conditionalFormatting sqref="FE9:GM9 FE33:FV33 FW32 FX33:GM33">
    <cfRule type="containsText" dxfId="11" priority="1315" operator="containsText" text="ex">
      <formula>NOT(ISERROR(SEARCH(("ex"),(FE9))))</formula>
    </cfRule>
  </conditionalFormatting>
  <conditionalFormatting sqref="FE10:GM10">
    <cfRule type="containsText" dxfId="4" priority="1316" operator="containsText" text="V A C A C">
      <formula>NOT(ISERROR(SEARCH(("V A C A C"),(FE10))))</formula>
    </cfRule>
  </conditionalFormatting>
  <conditionalFormatting sqref="FE10:GM10">
    <cfRule type="containsText" dxfId="4" priority="1317" operator="containsText" text="VACAC">
      <formula>NOT(ISERROR(SEARCH(("VACAC"),(FE10))))</formula>
    </cfRule>
  </conditionalFormatting>
  <conditionalFormatting sqref="FE11:GM11">
    <cfRule type="containsText" dxfId="11" priority="1318" operator="containsText" text="ex">
      <formula>NOT(ISERROR(SEARCH(("ex"),(FE11))))</formula>
    </cfRule>
  </conditionalFormatting>
  <conditionalFormatting sqref="FE12:GM12">
    <cfRule type="containsText" dxfId="4" priority="1319" operator="containsText" text="V A C A C">
      <formula>NOT(ISERROR(SEARCH(("V A C A C"),(FE12))))</formula>
    </cfRule>
  </conditionalFormatting>
  <conditionalFormatting sqref="FE12:GM12">
    <cfRule type="containsText" dxfId="4" priority="1320" operator="containsText" text="VACAC">
      <formula>NOT(ISERROR(SEARCH(("VACAC"),(FE12))))</formula>
    </cfRule>
  </conditionalFormatting>
  <conditionalFormatting sqref="FE13:GM13">
    <cfRule type="containsText" dxfId="11" priority="1321" operator="containsText" text="ex">
      <formula>NOT(ISERROR(SEARCH(("ex"),(FE13))))</formula>
    </cfRule>
  </conditionalFormatting>
  <conditionalFormatting sqref="FE15:GM15">
    <cfRule type="containsText" dxfId="11" priority="1322" operator="containsText" text="ex">
      <formula>NOT(ISERROR(SEARCH(("ex"),(FE15))))</formula>
    </cfRule>
  </conditionalFormatting>
  <conditionalFormatting sqref="FE19:GM19">
    <cfRule type="containsText" dxfId="11" priority="1323" operator="containsText" text="ex">
      <formula>NOT(ISERROR(SEARCH(("ex"),(FE19))))</formula>
    </cfRule>
  </conditionalFormatting>
  <conditionalFormatting sqref="FE21:GM21">
    <cfRule type="containsText" dxfId="11" priority="1324" operator="containsText" text="ex">
      <formula>NOT(ISERROR(SEARCH(("ex"),(FE21))))</formula>
    </cfRule>
  </conditionalFormatting>
  <conditionalFormatting sqref="FE22:GM22">
    <cfRule type="containsText" dxfId="4" priority="1325" operator="containsText" text="V A C A C">
      <formula>NOT(ISERROR(SEARCH(("V A C A C"),(FE22))))</formula>
    </cfRule>
  </conditionalFormatting>
  <conditionalFormatting sqref="FE22:GM22">
    <cfRule type="containsText" dxfId="4" priority="1326" operator="containsText" text="VACAC">
      <formula>NOT(ISERROR(SEARCH(("VACAC"),(FE22))))</formula>
    </cfRule>
  </conditionalFormatting>
  <conditionalFormatting sqref="FE23:GM23">
    <cfRule type="containsText" dxfId="11" priority="1327" operator="containsText" text="ex">
      <formula>NOT(ISERROR(SEARCH(("ex"),(FE23))))</formula>
    </cfRule>
  </conditionalFormatting>
  <conditionalFormatting sqref="FE24:GM24">
    <cfRule type="containsText" dxfId="4" priority="1328" operator="containsText" text="V A C A C">
      <formula>NOT(ISERROR(SEARCH(("V A C A C"),(FE24))))</formula>
    </cfRule>
  </conditionalFormatting>
  <conditionalFormatting sqref="FE24:GM24">
    <cfRule type="containsText" dxfId="4" priority="1329" operator="containsText" text="VACAC">
      <formula>NOT(ISERROR(SEARCH(("VACAC"),(FE24))))</formula>
    </cfRule>
  </conditionalFormatting>
  <conditionalFormatting sqref="FE25:GM25">
    <cfRule type="containsText" dxfId="11" priority="1330" operator="containsText" text="ex">
      <formula>NOT(ISERROR(SEARCH(("ex"),(FE25))))</formula>
    </cfRule>
  </conditionalFormatting>
  <conditionalFormatting sqref="FE26:GM26">
    <cfRule type="containsText" dxfId="4" priority="1331" operator="containsText" text="V A C A C">
      <formula>NOT(ISERROR(SEARCH(("V A C A C"),(FE26))))</formula>
    </cfRule>
  </conditionalFormatting>
  <conditionalFormatting sqref="FE26:GM26">
    <cfRule type="containsText" dxfId="4" priority="1332" operator="containsText" text="VACAC">
      <formula>NOT(ISERROR(SEARCH(("VACAC"),(FE26))))</formula>
    </cfRule>
  </conditionalFormatting>
  <conditionalFormatting sqref="FE27:GM27">
    <cfRule type="containsText" dxfId="11" priority="1333" operator="containsText" text="ex">
      <formula>NOT(ISERROR(SEARCH(("ex"),(FE27))))</formula>
    </cfRule>
  </conditionalFormatting>
  <conditionalFormatting sqref="FE28:GM28">
    <cfRule type="containsText" dxfId="4" priority="1334" operator="containsText" text="V A C A C">
      <formula>NOT(ISERROR(SEARCH(("V A C A C"),(FE28))))</formula>
    </cfRule>
  </conditionalFormatting>
  <conditionalFormatting sqref="FE28:GM28">
    <cfRule type="containsText" dxfId="4" priority="1335" operator="containsText" text="VACAC">
      <formula>NOT(ISERROR(SEARCH(("VACAC"),(FE28))))</formula>
    </cfRule>
  </conditionalFormatting>
  <conditionalFormatting sqref="FE29:GM29">
    <cfRule type="containsText" dxfId="11" priority="1336" operator="containsText" text="ex">
      <formula>NOT(ISERROR(SEARCH(("ex"),(FE29))))</formula>
    </cfRule>
  </conditionalFormatting>
  <conditionalFormatting sqref="FE30:GM30">
    <cfRule type="containsText" dxfId="4" priority="1337" operator="containsText" text="V A C A C">
      <formula>NOT(ISERROR(SEARCH(("V A C A C"),(FE30))))</formula>
    </cfRule>
  </conditionalFormatting>
  <conditionalFormatting sqref="FE30:GM30">
    <cfRule type="containsText" dxfId="4" priority="1338" operator="containsText" text="VACAC">
      <formula>NOT(ISERROR(SEARCH(("VACAC"),(FE30))))</formula>
    </cfRule>
  </conditionalFormatting>
  <conditionalFormatting sqref="FE31:GM31">
    <cfRule type="containsText" dxfId="11" priority="1339" operator="containsText" text="ex">
      <formula>NOT(ISERROR(SEARCH(("ex"),(FE31))))</formula>
    </cfRule>
  </conditionalFormatting>
  <conditionalFormatting sqref="FE31:GM31">
    <cfRule type="containsText" dxfId="5" priority="1340" operator="containsText" text="AP">
      <formula>NOT(ISERROR(SEARCH(("AP"),(FE31))))</formula>
    </cfRule>
  </conditionalFormatting>
  <conditionalFormatting sqref="FE32:GM32">
    <cfRule type="containsText" dxfId="4" priority="1341" operator="containsText" text="V A C A C">
      <formula>NOT(ISERROR(SEARCH(("V A C A C"),(FE32))))</formula>
    </cfRule>
  </conditionalFormatting>
  <conditionalFormatting sqref="FE32:GM32">
    <cfRule type="containsText" dxfId="4" priority="1342" operator="containsText" text="VACAC">
      <formula>NOT(ISERROR(SEARCH(("VACAC"),(FE32))))</formula>
    </cfRule>
  </conditionalFormatting>
  <conditionalFormatting sqref="FE32:GM32">
    <cfRule type="containsText" dxfId="6" priority="1343" operator="containsText" text="Ts">
      <formula>NOT(ISERROR(SEARCH(("Ts"),(FE32))))</formula>
    </cfRule>
  </conditionalFormatting>
  <conditionalFormatting sqref="FE32:GM32">
    <cfRule type="containsText" dxfId="7" priority="1344" operator="containsText" text="D">
      <formula>NOT(ISERROR(SEARCH(("D"),(FE32))))</formula>
    </cfRule>
  </conditionalFormatting>
  <conditionalFormatting sqref="FE32:GM32">
    <cfRule type="containsText" dxfId="8" priority="1345" operator="containsText" text="3">
      <formula>NOT(ISERROR(SEARCH(("3"),(FE32))))</formula>
    </cfRule>
  </conditionalFormatting>
  <conditionalFormatting sqref="FE32:GM32">
    <cfRule type="containsText" dxfId="9" priority="1346" operator="containsText" text="2">
      <formula>NOT(ISERROR(SEARCH(("2"),(FE32))))</formula>
    </cfRule>
  </conditionalFormatting>
  <conditionalFormatting sqref="FE32:GM32">
    <cfRule type="containsText" dxfId="10" priority="1347" operator="containsText" text="1">
      <formula>NOT(ISERROR(SEARCH(("1"),(FE32))))</formula>
    </cfRule>
  </conditionalFormatting>
  <conditionalFormatting sqref="FF16:FG16">
    <cfRule type="containsText" dxfId="6" priority="1348" operator="containsText" text="Ts">
      <formula>NOT(ISERROR(SEARCH(("Ts"),(FF16))))</formula>
    </cfRule>
  </conditionalFormatting>
  <conditionalFormatting sqref="FF16:FG16">
    <cfRule type="containsText" dxfId="7" priority="1349" operator="containsText" text="D">
      <formula>NOT(ISERROR(SEARCH(("D"),(FF16))))</formula>
    </cfRule>
  </conditionalFormatting>
  <conditionalFormatting sqref="FF16:FG16">
    <cfRule type="containsText" dxfId="8" priority="1350" operator="containsText" text="3">
      <formula>NOT(ISERROR(SEARCH(("3"),(FF16))))</formula>
    </cfRule>
  </conditionalFormatting>
  <conditionalFormatting sqref="FF16:FG16">
    <cfRule type="containsText" dxfId="9" priority="1351" operator="containsText" text="2">
      <formula>NOT(ISERROR(SEARCH(("2"),(FF16))))</formula>
    </cfRule>
  </conditionalFormatting>
  <conditionalFormatting sqref="FF16:FG16">
    <cfRule type="containsText" dxfId="10" priority="1352" operator="containsText" text="1">
      <formula>NOT(ISERROR(SEARCH(("1"),(FF16))))</formula>
    </cfRule>
  </conditionalFormatting>
  <conditionalFormatting sqref="FF26:FI26">
    <cfRule type="containsText" dxfId="6" priority="1353" operator="containsText" text="Ts">
      <formula>NOT(ISERROR(SEARCH(("Ts"),(FF26))))</formula>
    </cfRule>
  </conditionalFormatting>
  <conditionalFormatting sqref="FF26:FI26">
    <cfRule type="containsText" dxfId="7" priority="1354" operator="containsText" text="D">
      <formula>NOT(ISERROR(SEARCH(("D"),(FF26))))</formula>
    </cfRule>
  </conditionalFormatting>
  <conditionalFormatting sqref="FF26:FI26">
    <cfRule type="containsText" dxfId="8" priority="1355" operator="containsText" text="3">
      <formula>NOT(ISERROR(SEARCH(("3"),(FF26))))</formula>
    </cfRule>
  </conditionalFormatting>
  <conditionalFormatting sqref="FF26:FI26">
    <cfRule type="containsText" dxfId="9" priority="1356" operator="containsText" text="2">
      <formula>NOT(ISERROR(SEARCH(("2"),(FF26))))</formula>
    </cfRule>
  </conditionalFormatting>
  <conditionalFormatting sqref="FF26:FI26">
    <cfRule type="containsText" dxfId="10" priority="1357" operator="containsText" text="1">
      <formula>NOT(ISERROR(SEARCH(("1"),(FF26))))</formula>
    </cfRule>
  </conditionalFormatting>
  <conditionalFormatting sqref="FF6:FK6">
    <cfRule type="containsText" dxfId="6" priority="1358" operator="containsText" text="Ts">
      <formula>NOT(ISERROR(SEARCH(("Ts"),(FF6))))</formula>
    </cfRule>
  </conditionalFormatting>
  <conditionalFormatting sqref="FF6:FK6">
    <cfRule type="containsText" dxfId="4" priority="1359" operator="containsText" text="V A C A C">
      <formula>NOT(ISERROR(SEARCH(("V A C A C"),(FF6))))</formula>
    </cfRule>
  </conditionalFormatting>
  <conditionalFormatting sqref="FF6:FK6">
    <cfRule type="containsText" dxfId="4" priority="1360" operator="containsText" text="VACAC">
      <formula>NOT(ISERROR(SEARCH(("VACAC"),(FF6))))</formula>
    </cfRule>
  </conditionalFormatting>
  <conditionalFormatting sqref="FF6:FK6">
    <cfRule type="containsText" dxfId="8" priority="1361" operator="containsText" text="3">
      <formula>NOT(ISERROR(SEARCH(("3"),(FF6))))</formula>
    </cfRule>
  </conditionalFormatting>
  <conditionalFormatting sqref="FF6:FK6">
    <cfRule type="containsText" dxfId="9" priority="1362" operator="containsText" text="2">
      <formula>NOT(ISERROR(SEARCH(("2"),(FF6))))</formula>
    </cfRule>
  </conditionalFormatting>
  <conditionalFormatting sqref="FF6:FK6">
    <cfRule type="containsText" dxfId="10" priority="1363" operator="containsText" text="1">
      <formula>NOT(ISERROR(SEARCH(("1"),(FF6))))</formula>
    </cfRule>
  </conditionalFormatting>
  <conditionalFormatting sqref="FF6:FK6">
    <cfRule type="containsText" dxfId="5" priority="1364" operator="containsText" text="AP">
      <formula>NOT(ISERROR(SEARCH(("AP"),(FF6))))</formula>
    </cfRule>
  </conditionalFormatting>
  <conditionalFormatting sqref="FH18">
    <cfRule type="containsText" dxfId="4" priority="1365" operator="containsText" text="V A C A C">
      <formula>NOT(ISERROR(SEARCH(("V A C A C"),(FH18))))</formula>
    </cfRule>
  </conditionalFormatting>
  <conditionalFormatting sqref="FH18">
    <cfRule type="containsText" dxfId="4" priority="1366" operator="containsText" text="VACAC">
      <formula>NOT(ISERROR(SEARCH(("VACAC"),(FH18))))</formula>
    </cfRule>
  </conditionalFormatting>
  <conditionalFormatting sqref="FH18">
    <cfRule type="containsText" dxfId="10" priority="1367" operator="containsText" text="1">
      <formula>NOT(ISERROR(SEARCH(("1"),(FH18))))</formula>
    </cfRule>
  </conditionalFormatting>
  <conditionalFormatting sqref="FH20:FI20">
    <cfRule type="containsText" dxfId="4" priority="1368" operator="containsText" text="V A C A C">
      <formula>NOT(ISERROR(SEARCH(("V A C A C"),(FH20))))</formula>
    </cfRule>
  </conditionalFormatting>
  <conditionalFormatting sqref="FH20:FI20">
    <cfRule type="containsText" dxfId="4" priority="1369" operator="containsText" text="VACAC">
      <formula>NOT(ISERROR(SEARCH(("VACAC"),(FH20))))</formula>
    </cfRule>
  </conditionalFormatting>
  <conditionalFormatting sqref="FH20:FI20">
    <cfRule type="containsText" dxfId="10" priority="1370" operator="containsText" text="1">
      <formula>NOT(ISERROR(SEARCH(("1"),(FH20))))</formula>
    </cfRule>
  </conditionalFormatting>
  <conditionalFormatting sqref="FH18:FT18">
    <cfRule type="containsText" dxfId="6" priority="1371" operator="containsText" text="Ts">
      <formula>NOT(ISERROR(SEARCH(("Ts"),(FH18))))</formula>
    </cfRule>
  </conditionalFormatting>
  <conditionalFormatting sqref="FH18:FT18">
    <cfRule type="containsText" dxfId="7" priority="1372" operator="containsText" text="D">
      <formula>NOT(ISERROR(SEARCH(("D"),(FH18))))</formula>
    </cfRule>
  </conditionalFormatting>
  <conditionalFormatting sqref="FH18:FT18">
    <cfRule type="containsText" dxfId="8" priority="1373" operator="containsText" text="3">
      <formula>NOT(ISERROR(SEARCH(("3"),(FH18))))</formula>
    </cfRule>
  </conditionalFormatting>
  <conditionalFormatting sqref="FH16:GB17">
    <cfRule type="containsText" dxfId="5" priority="1374" operator="containsText" text="AP">
      <formula>NOT(ISERROR(SEARCH(("AP"),(FH16))))</formula>
    </cfRule>
  </conditionalFormatting>
  <conditionalFormatting sqref="FH20:GF20">
    <cfRule type="containsText" dxfId="6" priority="1375" operator="containsText" text="Ts">
      <formula>NOT(ISERROR(SEARCH(("Ts"),(FH20))))</formula>
    </cfRule>
  </conditionalFormatting>
  <conditionalFormatting sqref="FH20:GF20">
    <cfRule type="containsText" dxfId="7" priority="1376" operator="containsText" text="D">
      <formula>NOT(ISERROR(SEARCH(("D"),(FH20))))</formula>
    </cfRule>
  </conditionalFormatting>
  <conditionalFormatting sqref="FH20:GF20">
    <cfRule type="containsText" dxfId="8" priority="1377" operator="containsText" text="3">
      <formula>NOT(ISERROR(SEARCH(("3"),(FH20))))</formula>
    </cfRule>
  </conditionalFormatting>
  <conditionalFormatting sqref="FI34">
    <cfRule type="containsText" dxfId="8" priority="1378" operator="containsText" text="3">
      <formula>NOT(ISERROR(SEARCH(("3"),(FI34))))</formula>
    </cfRule>
  </conditionalFormatting>
  <conditionalFormatting sqref="FI34">
    <cfRule type="containsText" dxfId="9" priority="1379" operator="containsText" text="2">
      <formula>NOT(ISERROR(SEARCH(("2"),(FI34))))</formula>
    </cfRule>
  </conditionalFormatting>
  <conditionalFormatting sqref="FI34">
    <cfRule type="containsText" dxfId="10" priority="1380" operator="containsText" text="1">
      <formula>NOT(ISERROR(SEARCH(("1"),(FI34))))</formula>
    </cfRule>
  </conditionalFormatting>
  <conditionalFormatting sqref="FI34:FI35">
    <cfRule type="containsText" dxfId="5" priority="1381" operator="containsText" text="AP">
      <formula>NOT(ISERROR(SEARCH(("AP"),(FI34))))</formula>
    </cfRule>
  </conditionalFormatting>
  <conditionalFormatting sqref="FI36">
    <cfRule type="containsText" dxfId="7" priority="1382" operator="containsText" text="D">
      <formula>NOT(ISERROR(SEARCH(("D"),(FI36))))</formula>
    </cfRule>
  </conditionalFormatting>
  <conditionalFormatting sqref="FI34:FL34">
    <cfRule type="containsText" dxfId="7" priority="1383" operator="containsText" text="D">
      <formula>NOT(ISERROR(SEARCH(("D"),(FI34))))</formula>
    </cfRule>
  </conditionalFormatting>
  <conditionalFormatting sqref="FI36:FL36">
    <cfRule type="containsText" dxfId="10" priority="1384" operator="containsText" text="L">
      <formula>NOT(ISERROR(SEARCH(("L"),(FI36))))</formula>
    </cfRule>
  </conditionalFormatting>
  <conditionalFormatting sqref="FI18:FT18">
    <cfRule type="containsText" dxfId="9" priority="1385" operator="containsText" text="2">
      <formula>NOT(ISERROR(SEARCH(("2"),(FI18))))</formula>
    </cfRule>
  </conditionalFormatting>
  <conditionalFormatting sqref="FI18:FT18">
    <cfRule type="containsText" dxfId="10" priority="1386" operator="containsText" text="1">
      <formula>NOT(ISERROR(SEARCH(("1"),(FI18))))</formula>
    </cfRule>
  </conditionalFormatting>
  <conditionalFormatting sqref="FI16:GB16">
    <cfRule type="containsText" dxfId="6" priority="1387" operator="containsText" text="Ts">
      <formula>NOT(ISERROR(SEARCH(("Ts"),(FI16))))</formula>
    </cfRule>
  </conditionalFormatting>
  <conditionalFormatting sqref="FI16:GB16">
    <cfRule type="containsText" dxfId="7" priority="1388" operator="containsText" text="D">
      <formula>NOT(ISERROR(SEARCH(("D"),(FI16))))</formula>
    </cfRule>
  </conditionalFormatting>
  <conditionalFormatting sqref="FI16:GB16">
    <cfRule type="containsText" dxfId="8" priority="1389" operator="containsText" text="3">
      <formula>NOT(ISERROR(SEARCH(("3"),(FI16))))</formula>
    </cfRule>
  </conditionalFormatting>
  <conditionalFormatting sqref="FI16:GB16">
    <cfRule type="containsText" dxfId="9" priority="1390" operator="containsText" text="2">
      <formula>NOT(ISERROR(SEARCH(("2"),(FI16))))</formula>
    </cfRule>
  </conditionalFormatting>
  <conditionalFormatting sqref="FI16:GB16">
    <cfRule type="containsText" dxfId="10" priority="1391" operator="containsText" text="1">
      <formula>NOT(ISERROR(SEARCH(("1"),(FI16))))</formula>
    </cfRule>
  </conditionalFormatting>
  <conditionalFormatting sqref="FI18:GB18">
    <cfRule type="containsText" dxfId="4" priority="1392" operator="containsText" text="V A C A C">
      <formula>NOT(ISERROR(SEARCH(("V A C A C"),(FI18))))</formula>
    </cfRule>
  </conditionalFormatting>
  <conditionalFormatting sqref="FI18:GB18">
    <cfRule type="containsText" dxfId="4" priority="1393" operator="containsText" text="VACAC">
      <formula>NOT(ISERROR(SEARCH(("VACAC"),(FI18))))</formula>
    </cfRule>
  </conditionalFormatting>
  <conditionalFormatting sqref="FI18:GB18">
    <cfRule type="containsText" dxfId="5" priority="1394" operator="containsText" text="AP">
      <formula>NOT(ISERROR(SEARCH(("AP"),(FI18))))</formula>
    </cfRule>
  </conditionalFormatting>
  <conditionalFormatting sqref="FI30:GC30">
    <cfRule type="containsText" dxfId="6" priority="1395" operator="containsText" text="Ts">
      <formula>NOT(ISERROR(SEARCH(("Ts"),(FI30))))</formula>
    </cfRule>
  </conditionalFormatting>
  <conditionalFormatting sqref="FI30:GC30">
    <cfRule type="containsText" dxfId="7" priority="1396" operator="containsText" text="D">
      <formula>NOT(ISERROR(SEARCH(("D"),(FI30))))</formula>
    </cfRule>
  </conditionalFormatting>
  <conditionalFormatting sqref="FI30:GC30">
    <cfRule type="containsText" dxfId="8" priority="1397" operator="containsText" text="3">
      <formula>NOT(ISERROR(SEARCH(("3"),(FI30))))</formula>
    </cfRule>
  </conditionalFormatting>
  <conditionalFormatting sqref="FI30:GC30">
    <cfRule type="containsText" dxfId="9" priority="1398" operator="containsText" text="2">
      <formula>NOT(ISERROR(SEARCH(("2"),(FI30))))</formula>
    </cfRule>
  </conditionalFormatting>
  <conditionalFormatting sqref="FI30:GC30">
    <cfRule type="containsText" dxfId="10" priority="1399" operator="containsText" text="1">
      <formula>NOT(ISERROR(SEARCH(("1"),(FI30))))</formula>
    </cfRule>
  </conditionalFormatting>
  <conditionalFormatting sqref="FI34:GM34">
    <cfRule type="containsText" dxfId="4" priority="1400" operator="containsText" text="V A C A C">
      <formula>NOT(ISERROR(SEARCH(("V A C A C"),(FI34))))</formula>
    </cfRule>
  </conditionalFormatting>
  <conditionalFormatting sqref="FI34:GM34">
    <cfRule type="containsText" dxfId="4" priority="1401" operator="containsText" text="VACAC">
      <formula>NOT(ISERROR(SEARCH(("VACAC"),(FI34))))</formula>
    </cfRule>
  </conditionalFormatting>
  <conditionalFormatting sqref="FI34:GM34">
    <cfRule type="containsText" dxfId="6" priority="1402" operator="containsText" text="Ts">
      <formula>NOT(ISERROR(SEARCH(("Ts"),(FI34))))</formula>
    </cfRule>
  </conditionalFormatting>
  <conditionalFormatting sqref="FJ36:FL36">
    <cfRule type="containsText" dxfId="7" priority="1403" operator="containsText" text="D">
      <formula>NOT(ISERROR(SEARCH(("D"),(FJ36))))</formula>
    </cfRule>
  </conditionalFormatting>
  <conditionalFormatting sqref="FJ24:FT24">
    <cfRule type="containsText" dxfId="7" priority="1404" operator="containsText" text="D">
      <formula>NOT(ISERROR(SEARCH(("D"),(FJ24))))</formula>
    </cfRule>
  </conditionalFormatting>
  <conditionalFormatting sqref="FJ24:FT24">
    <cfRule type="containsText" dxfId="8" priority="1405" operator="containsText" text="3">
      <formula>NOT(ISERROR(SEARCH(("3"),(FJ24))))</formula>
    </cfRule>
  </conditionalFormatting>
  <conditionalFormatting sqref="FJ24:FT24">
    <cfRule type="containsText" dxfId="9" priority="1406" operator="containsText" text="2">
      <formula>NOT(ISERROR(SEARCH(("2"),(FJ24))))</formula>
    </cfRule>
  </conditionalFormatting>
  <conditionalFormatting sqref="FJ24:FT24">
    <cfRule type="containsText" dxfId="10" priority="1407" operator="containsText" text="1">
      <formula>NOT(ISERROR(SEARCH(("1"),(FJ24))))</formula>
    </cfRule>
  </conditionalFormatting>
  <conditionalFormatting sqref="FJ10:GB10">
    <cfRule type="containsText" dxfId="5" priority="1408" operator="containsText" text="AP">
      <formula>NOT(ISERROR(SEARCH(("AP"),(FJ10))))</formula>
    </cfRule>
  </conditionalFormatting>
  <conditionalFormatting sqref="FJ20:GF20">
    <cfRule type="containsText" dxfId="9" priority="1409" operator="containsText" text="2">
      <formula>NOT(ISERROR(SEARCH(("2"),(FJ20))))</formula>
    </cfRule>
  </conditionalFormatting>
  <conditionalFormatting sqref="FJ20:GF20">
    <cfRule type="containsText" dxfId="10" priority="1410" operator="containsText" text="1">
      <formula>NOT(ISERROR(SEARCH(("1"),(FJ20))))</formula>
    </cfRule>
  </conditionalFormatting>
  <conditionalFormatting sqref="FJ14:GG14">
    <cfRule type="containsText" dxfId="7" priority="1411" operator="containsText" text="D">
      <formula>NOT(ISERROR(SEARCH(("D"),(FJ14))))</formula>
    </cfRule>
  </conditionalFormatting>
  <conditionalFormatting sqref="FJ14:GG14">
    <cfRule type="containsText" dxfId="8" priority="1412" operator="containsText" text="3">
      <formula>NOT(ISERROR(SEARCH(("3"),(FJ14))))</formula>
    </cfRule>
  </conditionalFormatting>
  <conditionalFormatting sqref="FJ14:GG14">
    <cfRule type="containsText" dxfId="9" priority="1413" operator="containsText" text="2">
      <formula>NOT(ISERROR(SEARCH(("2"),(FJ14))))</formula>
    </cfRule>
  </conditionalFormatting>
  <conditionalFormatting sqref="FJ14:GG14">
    <cfRule type="containsText" dxfId="10" priority="1414" operator="containsText" text="1">
      <formula>NOT(ISERROR(SEARCH(("1"),(FJ14))))</formula>
    </cfRule>
  </conditionalFormatting>
  <conditionalFormatting sqref="FJ20:GG20">
    <cfRule type="containsText" dxfId="4" priority="1415" operator="containsText" text="V A C A C">
      <formula>NOT(ISERROR(SEARCH(("V A C A C"),(FJ20))))</formula>
    </cfRule>
  </conditionalFormatting>
  <conditionalFormatting sqref="FJ20:GG20">
    <cfRule type="containsText" dxfId="4" priority="1416" operator="containsText" text="VACAC">
      <formula>NOT(ISERROR(SEARCH(("VACAC"),(FJ20))))</formula>
    </cfRule>
  </conditionalFormatting>
  <conditionalFormatting sqref="FJ20:GG20">
    <cfRule type="containsText" dxfId="5" priority="1417" operator="containsText" text="AP">
      <formula>NOT(ISERROR(SEARCH(("AP"),(FJ20))))</formula>
    </cfRule>
  </conditionalFormatting>
  <conditionalFormatting sqref="FJ8:GM8">
    <cfRule type="containsText" dxfId="7" priority="1418" operator="containsText" text="D">
      <formula>NOT(ISERROR(SEARCH(("D"),(FJ8))))</formula>
    </cfRule>
  </conditionalFormatting>
  <conditionalFormatting sqref="FJ8:GM8">
    <cfRule type="containsText" dxfId="8" priority="1419" operator="containsText" text="3">
      <formula>NOT(ISERROR(SEARCH(("3"),(FJ8))))</formula>
    </cfRule>
  </conditionalFormatting>
  <conditionalFormatting sqref="FJ8:GM8">
    <cfRule type="containsText" dxfId="9" priority="1420" operator="containsText" text="2">
      <formula>NOT(ISERROR(SEARCH(("2"),(FJ8))))</formula>
    </cfRule>
  </conditionalFormatting>
  <conditionalFormatting sqref="FJ8:GM8">
    <cfRule type="containsText" dxfId="10" priority="1421" operator="containsText" text="1">
      <formula>NOT(ISERROR(SEARCH(("1"),(FJ8))))</formula>
    </cfRule>
  </conditionalFormatting>
  <conditionalFormatting sqref="FJ8:GM9 FJ11:GM15 FJ21:GM29">
    <cfRule type="containsText" dxfId="5" priority="1422" operator="containsText" text="AP">
      <formula>NOT(ISERROR(SEARCH(("AP"),(FJ8))))</formula>
    </cfRule>
  </conditionalFormatting>
  <conditionalFormatting sqref="FJ12:GM12">
    <cfRule type="containsText" dxfId="6" priority="1423" operator="containsText" text="Ts">
      <formula>NOT(ISERROR(SEARCH(("Ts"),(FJ12))))</formula>
    </cfRule>
  </conditionalFormatting>
  <conditionalFormatting sqref="FJ12:GM12">
    <cfRule type="containsText" dxfId="7" priority="1424" operator="containsText" text="D">
      <formula>NOT(ISERROR(SEARCH(("D"),(FJ12))))</formula>
    </cfRule>
  </conditionalFormatting>
  <conditionalFormatting sqref="FJ12:GM12">
    <cfRule type="containsText" dxfId="8" priority="1425" operator="containsText" text="3">
      <formula>NOT(ISERROR(SEARCH(("3"),(FJ12))))</formula>
    </cfRule>
  </conditionalFormatting>
  <conditionalFormatting sqref="FJ12:GM12">
    <cfRule type="containsText" dxfId="9" priority="1426" operator="containsText" text="2">
      <formula>NOT(ISERROR(SEARCH(("2"),(FJ12))))</formula>
    </cfRule>
  </conditionalFormatting>
  <conditionalFormatting sqref="FJ12:GM12">
    <cfRule type="containsText" dxfId="10" priority="1427" operator="containsText" text="1">
      <formula>NOT(ISERROR(SEARCH(("1"),(FJ12))))</formula>
    </cfRule>
  </conditionalFormatting>
  <conditionalFormatting sqref="FJ14:GM14">
    <cfRule type="containsText" dxfId="6" priority="1428" operator="containsText" text="Ts">
      <formula>NOT(ISERROR(SEARCH(("Ts"),(FJ14))))</formula>
    </cfRule>
  </conditionalFormatting>
  <conditionalFormatting sqref="FJ19:GM19">
    <cfRule type="containsText" dxfId="5" priority="1429" operator="containsText" text="AP">
      <formula>NOT(ISERROR(SEARCH(("AP"),(FJ19))))</formula>
    </cfRule>
  </conditionalFormatting>
  <conditionalFormatting sqref="FJ22:GM22">
    <cfRule type="containsText" dxfId="6" priority="1430" operator="containsText" text="Ts">
      <formula>NOT(ISERROR(SEARCH(("Ts"),(FJ22))))</formula>
    </cfRule>
  </conditionalFormatting>
  <conditionalFormatting sqref="FJ22:GM22">
    <cfRule type="containsText" dxfId="7" priority="1431" operator="containsText" text="D">
      <formula>NOT(ISERROR(SEARCH(("D"),(FJ22))))</formula>
    </cfRule>
  </conditionalFormatting>
  <conditionalFormatting sqref="FJ22:GM22">
    <cfRule type="containsText" dxfId="8" priority="1432" operator="containsText" text="3">
      <formula>NOT(ISERROR(SEARCH(("3"),(FJ22))))</formula>
    </cfRule>
  </conditionalFormatting>
  <conditionalFormatting sqref="FJ22:GM22">
    <cfRule type="containsText" dxfId="9" priority="1433" operator="containsText" text="2">
      <formula>NOT(ISERROR(SEARCH(("2"),(FJ22))))</formula>
    </cfRule>
  </conditionalFormatting>
  <conditionalFormatting sqref="FJ22:GM22">
    <cfRule type="containsText" dxfId="10" priority="1434" operator="containsText" text="1">
      <formula>NOT(ISERROR(SEARCH(("1"),(FJ22))))</formula>
    </cfRule>
  </conditionalFormatting>
  <conditionalFormatting sqref="FJ26:GM26">
    <cfRule type="containsText" dxfId="6" priority="1435" operator="containsText" text="Ts">
      <formula>NOT(ISERROR(SEARCH(("Ts"),(FJ26))))</formula>
    </cfRule>
  </conditionalFormatting>
  <conditionalFormatting sqref="FJ26:GM26">
    <cfRule type="containsText" dxfId="7" priority="1436" operator="containsText" text="D">
      <formula>NOT(ISERROR(SEARCH(("D"),(FJ26))))</formula>
    </cfRule>
  </conditionalFormatting>
  <conditionalFormatting sqref="FJ26:GM26">
    <cfRule type="containsText" dxfId="8" priority="1437" operator="containsText" text="3">
      <formula>NOT(ISERROR(SEARCH(("3"),(FJ26))))</formula>
    </cfRule>
  </conditionalFormatting>
  <conditionalFormatting sqref="FJ26:GM26">
    <cfRule type="containsText" dxfId="9" priority="1438" operator="containsText" text="2">
      <formula>NOT(ISERROR(SEARCH(("2"),(FJ26))))</formula>
    </cfRule>
  </conditionalFormatting>
  <conditionalFormatting sqref="FJ26:GM26">
    <cfRule type="containsText" dxfId="10" priority="1439" operator="containsText" text="1">
      <formula>NOT(ISERROR(SEARCH(("1"),(FJ26))))</formula>
    </cfRule>
  </conditionalFormatting>
  <conditionalFormatting sqref="FJ28:GM28">
    <cfRule type="containsText" dxfId="6" priority="1440" operator="containsText" text="Ts">
      <formula>NOT(ISERROR(SEARCH(("Ts"),(FJ28))))</formula>
    </cfRule>
  </conditionalFormatting>
  <conditionalFormatting sqref="FJ28:GM28">
    <cfRule type="containsText" dxfId="7" priority="1441" operator="containsText" text="D">
      <formula>NOT(ISERROR(SEARCH(("D"),(FJ28))))</formula>
    </cfRule>
  </conditionalFormatting>
  <conditionalFormatting sqref="FJ28:GM28">
    <cfRule type="containsText" dxfId="8" priority="1442" operator="containsText" text="3">
      <formula>NOT(ISERROR(SEARCH(("3"),(FJ28))))</formula>
    </cfRule>
  </conditionalFormatting>
  <conditionalFormatting sqref="FJ28:GM28">
    <cfRule type="containsText" dxfId="9" priority="1443" operator="containsText" text="2">
      <formula>NOT(ISERROR(SEARCH(("2"),(FJ28))))</formula>
    </cfRule>
  </conditionalFormatting>
  <conditionalFormatting sqref="FJ28:GM28">
    <cfRule type="containsText" dxfId="10" priority="1444" operator="containsText" text="1">
      <formula>NOT(ISERROR(SEARCH(("1"),(FJ28))))</formula>
    </cfRule>
  </conditionalFormatting>
  <conditionalFormatting sqref="FJ32:GM32 FJ33:FV33 FX33:GM33">
    <cfRule type="containsText" dxfId="5" priority="1445" operator="containsText" text="AP">
      <formula>NOT(ISERROR(SEARCH(("AP"),(FJ32))))</formula>
    </cfRule>
  </conditionalFormatting>
  <conditionalFormatting sqref="FJ34:GM34 FX35:GM35">
    <cfRule type="containsText" dxfId="5" priority="1446" operator="containsText" text="AP">
      <formula>NOT(ISERROR(SEARCH(("AP"),(FJ34))))</formula>
    </cfRule>
  </conditionalFormatting>
  <conditionalFormatting sqref="FJ34:GM34">
    <cfRule type="containsText" dxfId="7" priority="1447" operator="containsText" text="D">
      <formula>NOT(ISERROR(SEARCH(("D"),(FJ34))))</formula>
    </cfRule>
  </conditionalFormatting>
  <conditionalFormatting sqref="FJ34:GM34">
    <cfRule type="containsText" dxfId="8" priority="1448" operator="containsText" text="3">
      <formula>NOT(ISERROR(SEARCH(("3"),(FJ34))))</formula>
    </cfRule>
  </conditionalFormatting>
  <conditionalFormatting sqref="FJ34:GM34">
    <cfRule type="containsText" dxfId="9" priority="1449" operator="containsText" text="2">
      <formula>NOT(ISERROR(SEARCH(("2"),(FJ34))))</formula>
    </cfRule>
  </conditionalFormatting>
  <conditionalFormatting sqref="FJ34:GM34">
    <cfRule type="containsText" dxfId="10" priority="1450" operator="containsText" text="1">
      <formula>NOT(ISERROR(SEARCH(("1"),(FJ34))))</formula>
    </cfRule>
  </conditionalFormatting>
  <conditionalFormatting sqref="FK7:GM7">
    <cfRule type="containsText" dxfId="11" priority="1451" operator="containsText" text="ex">
      <formula>NOT(ISERROR(SEARCH(("ex"),(FK7))))</formula>
    </cfRule>
  </conditionalFormatting>
  <conditionalFormatting sqref="FK7:GM7">
    <cfRule type="containsText" dxfId="5" priority="1452" operator="containsText" text="AP">
      <formula>NOT(ISERROR(SEARCH(("AP"),(FK7))))</formula>
    </cfRule>
  </conditionalFormatting>
  <conditionalFormatting sqref="FP6:FR6">
    <cfRule type="containsText" dxfId="6" priority="1453" operator="containsText" text="Ts">
      <formula>NOT(ISERROR(SEARCH(("Ts"),(FP6))))</formula>
    </cfRule>
  </conditionalFormatting>
  <conditionalFormatting sqref="FP6:FR6">
    <cfRule type="containsText" dxfId="4" priority="1454" operator="containsText" text="V A C A C">
      <formula>NOT(ISERROR(SEARCH(("V A C A C"),(FP6))))</formula>
    </cfRule>
  </conditionalFormatting>
  <conditionalFormatting sqref="FP6:FR6">
    <cfRule type="containsText" dxfId="4" priority="1455" operator="containsText" text="VACAC">
      <formula>NOT(ISERROR(SEARCH(("VACAC"),(FP6))))</formula>
    </cfRule>
  </conditionalFormatting>
  <conditionalFormatting sqref="FP6:FR6">
    <cfRule type="containsText" dxfId="7" priority="1456" operator="containsText" text="D">
      <formula>NOT(ISERROR(SEARCH(("D"),(FP6))))</formula>
    </cfRule>
  </conditionalFormatting>
  <conditionalFormatting sqref="FP6:FR6">
    <cfRule type="containsText" dxfId="8" priority="1457" operator="containsText" text="3">
      <formula>NOT(ISERROR(SEARCH(("3"),(FP6))))</formula>
    </cfRule>
  </conditionalFormatting>
  <conditionalFormatting sqref="FP6:FR6">
    <cfRule type="containsText" dxfId="9" priority="1458" operator="containsText" text="2">
      <formula>NOT(ISERROR(SEARCH(("2"),(FP6))))</formula>
    </cfRule>
  </conditionalFormatting>
  <conditionalFormatting sqref="FP6:FR6">
    <cfRule type="containsText" dxfId="10" priority="1459" operator="containsText" text="1">
      <formula>NOT(ISERROR(SEARCH(("1"),(FP6))))</formula>
    </cfRule>
  </conditionalFormatting>
  <conditionalFormatting sqref="FP6:FR6">
    <cfRule type="containsText" dxfId="5" priority="1460" operator="containsText" text="AP">
      <formula>NOT(ISERROR(SEARCH(("AP"),(FP6))))</formula>
    </cfRule>
  </conditionalFormatting>
  <conditionalFormatting sqref="FQ34:GM34">
    <cfRule type="containsText" dxfId="7" priority="1461" operator="containsText" text="D">
      <formula>NOT(ISERROR(SEARCH(("D"),(FQ34))))</formula>
    </cfRule>
  </conditionalFormatting>
  <conditionalFormatting sqref="FQ34:GM34">
    <cfRule type="containsText" dxfId="10" priority="1462" operator="containsText" text="L">
      <formula>NOT(ISERROR(SEARCH(("L"),(FQ34))))</formula>
    </cfRule>
  </conditionalFormatting>
  <conditionalFormatting sqref="FQ36:GM36">
    <cfRule type="containsText" dxfId="7" priority="1463" operator="containsText" text="D">
      <formula>NOT(ISERROR(SEARCH(("D"),(FQ36))))</formula>
    </cfRule>
  </conditionalFormatting>
  <conditionalFormatting sqref="FQ36:GM36">
    <cfRule type="containsText" dxfId="10" priority="1464" operator="containsText" text="L">
      <formula>NOT(ISERROR(SEARCH(("L"),(FQ36))))</formula>
    </cfRule>
  </conditionalFormatting>
  <conditionalFormatting sqref="FT4">
    <cfRule type="containsText" dxfId="4" priority="1465" operator="containsText" text="V A C A C">
      <formula>NOT(ISERROR(SEARCH(("V A C A C"),(FT4))))</formula>
    </cfRule>
  </conditionalFormatting>
  <conditionalFormatting sqref="FT4">
    <cfRule type="containsText" dxfId="4" priority="1466" operator="containsText" text="VACAC">
      <formula>NOT(ISERROR(SEARCH(("VACAC"),(FT4))))</formula>
    </cfRule>
  </conditionalFormatting>
  <conditionalFormatting sqref="FT4">
    <cfRule type="containsText" dxfId="5" priority="1467" operator="containsText" text="AP">
      <formula>NOT(ISERROR(SEARCH(("AP"),(FT4))))</formula>
    </cfRule>
  </conditionalFormatting>
  <conditionalFormatting sqref="FT4">
    <cfRule type="containsText" dxfId="6" priority="1468" operator="containsText" text="Ts">
      <formula>NOT(ISERROR(SEARCH(("Ts"),(FT4))))</formula>
    </cfRule>
  </conditionalFormatting>
  <conditionalFormatting sqref="FT4">
    <cfRule type="containsText" dxfId="7" priority="1469" operator="containsText" text="D">
      <formula>NOT(ISERROR(SEARCH(("D"),(FT4))))</formula>
    </cfRule>
  </conditionalFormatting>
  <conditionalFormatting sqref="FT4">
    <cfRule type="containsText" dxfId="8" priority="1470" operator="containsText" text="3">
      <formula>NOT(ISERROR(SEARCH(("3"),(FT4))))</formula>
    </cfRule>
  </conditionalFormatting>
  <conditionalFormatting sqref="FT4">
    <cfRule type="containsText" dxfId="9" priority="1471" operator="containsText" text="2">
      <formula>NOT(ISERROR(SEARCH(("2"),(FT4))))</formula>
    </cfRule>
  </conditionalFormatting>
  <conditionalFormatting sqref="FT4">
    <cfRule type="containsText" dxfId="10" priority="1472" operator="containsText" text="1">
      <formula>NOT(ISERROR(SEARCH(("1"),(FT4))))</formula>
    </cfRule>
  </conditionalFormatting>
  <conditionalFormatting sqref="FU18:GB18">
    <cfRule type="containsText" dxfId="6" priority="1473" operator="containsText" text="Ts">
      <formula>NOT(ISERROR(SEARCH(("Ts"),(FU18))))</formula>
    </cfRule>
  </conditionalFormatting>
  <conditionalFormatting sqref="FU18:GB18">
    <cfRule type="containsText" dxfId="7" priority="1474" operator="containsText" text="D">
      <formula>NOT(ISERROR(SEARCH(("D"),(FU18))))</formula>
    </cfRule>
  </conditionalFormatting>
  <conditionalFormatting sqref="FU18:GB18">
    <cfRule type="containsText" dxfId="8" priority="1475" operator="containsText" text="3">
      <formula>NOT(ISERROR(SEARCH(("3"),(FU18))))</formula>
    </cfRule>
  </conditionalFormatting>
  <conditionalFormatting sqref="FU18:GB18">
    <cfRule type="containsText" dxfId="9" priority="1476" operator="containsText" text="2">
      <formula>NOT(ISERROR(SEARCH(("2"),(FU18))))</formula>
    </cfRule>
  </conditionalFormatting>
  <conditionalFormatting sqref="FU18:GB18">
    <cfRule type="containsText" dxfId="10" priority="1477" operator="containsText" text="1">
      <formula>NOT(ISERROR(SEARCH(("1"),(FU18))))</formula>
    </cfRule>
  </conditionalFormatting>
  <conditionalFormatting sqref="FU10:GC10">
    <cfRule type="containsText" dxfId="6" priority="1478" operator="containsText" text="Ts">
      <formula>NOT(ISERROR(SEARCH(("Ts"),(FU10))))</formula>
    </cfRule>
  </conditionalFormatting>
  <conditionalFormatting sqref="FU10:GC10">
    <cfRule type="containsText" dxfId="7" priority="1479" operator="containsText" text="D">
      <formula>NOT(ISERROR(SEARCH(("D"),(FU10))))</formula>
    </cfRule>
  </conditionalFormatting>
  <conditionalFormatting sqref="FU10:GC10">
    <cfRule type="containsText" dxfId="8" priority="1480" operator="containsText" text="3">
      <formula>NOT(ISERROR(SEARCH(("3"),(FU10))))</formula>
    </cfRule>
  </conditionalFormatting>
  <conditionalFormatting sqref="FU10:GC10">
    <cfRule type="containsText" dxfId="9" priority="1481" operator="containsText" text="2">
      <formula>NOT(ISERROR(SEARCH(("2"),(FU10))))</formula>
    </cfRule>
  </conditionalFormatting>
  <conditionalFormatting sqref="FU10:GC10">
    <cfRule type="containsText" dxfId="10" priority="1482" operator="containsText" text="1">
      <formula>NOT(ISERROR(SEARCH(("1"),(FU10))))</formula>
    </cfRule>
  </conditionalFormatting>
  <conditionalFormatting sqref="FU24:GM24">
    <cfRule type="containsText" dxfId="6" priority="1483" operator="containsText" text="Ts">
      <formula>NOT(ISERROR(SEARCH(("Ts"),(FU24))))</formula>
    </cfRule>
  </conditionalFormatting>
  <conditionalFormatting sqref="FU24:GM24">
    <cfRule type="containsText" dxfId="7" priority="1484" operator="containsText" text="D">
      <formula>NOT(ISERROR(SEARCH(("D"),(FU24))))</formula>
    </cfRule>
  </conditionalFormatting>
  <conditionalFormatting sqref="FU24:GM24">
    <cfRule type="containsText" dxfId="8" priority="1485" operator="containsText" text="3">
      <formula>NOT(ISERROR(SEARCH(("3"),(FU24))))</formula>
    </cfRule>
  </conditionalFormatting>
  <conditionalFormatting sqref="FU24:GM24">
    <cfRule type="containsText" dxfId="9" priority="1486" operator="containsText" text="2">
      <formula>NOT(ISERROR(SEARCH(("2"),(FU24))))</formula>
    </cfRule>
  </conditionalFormatting>
  <conditionalFormatting sqref="FU24:GM24">
    <cfRule type="containsText" dxfId="10" priority="1487" operator="containsText" text="1">
      <formula>NOT(ISERROR(SEARCH(("1"),(FU24))))</formula>
    </cfRule>
  </conditionalFormatting>
  <conditionalFormatting sqref="FI35:FV35 FW34 FX35:GM35">
    <cfRule type="containsText" dxfId="11" priority="1488" operator="containsText" text="ex">
      <formula>NOT(ISERROR(SEARCH(("ex"),(FI35))))</formula>
    </cfRule>
  </conditionalFormatting>
  <conditionalFormatting sqref="FW6:FY6">
    <cfRule type="containsText" dxfId="6" priority="1489" operator="containsText" text="Ts">
      <formula>NOT(ISERROR(SEARCH(("Ts"),(FW6))))</formula>
    </cfRule>
  </conditionalFormatting>
  <conditionalFormatting sqref="FW6:FY6">
    <cfRule type="containsText" dxfId="7" priority="1490" operator="containsText" text="D">
      <formula>NOT(ISERROR(SEARCH(("D"),(FW6))))</formula>
    </cfRule>
  </conditionalFormatting>
  <conditionalFormatting sqref="FW6:FY6">
    <cfRule type="containsText" dxfId="8" priority="1491" operator="containsText" text="3">
      <formula>NOT(ISERROR(SEARCH(("3"),(FW6))))</formula>
    </cfRule>
  </conditionalFormatting>
  <conditionalFormatting sqref="FW6:FY6">
    <cfRule type="containsText" dxfId="9" priority="1492" operator="containsText" text="2">
      <formula>NOT(ISERROR(SEARCH(("2"),(FW6))))</formula>
    </cfRule>
  </conditionalFormatting>
  <conditionalFormatting sqref="FW6:FY6">
    <cfRule type="containsText" dxfId="10" priority="1493" operator="containsText" text="1">
      <formula>NOT(ISERROR(SEARCH(("1"),(FW6))))</formula>
    </cfRule>
  </conditionalFormatting>
  <conditionalFormatting sqref="FW6:GB6">
    <cfRule type="containsText" dxfId="5" priority="1494" operator="containsText" text="AP">
      <formula>NOT(ISERROR(SEARCH(("AP"),(FW6))))</formula>
    </cfRule>
  </conditionalFormatting>
  <conditionalFormatting sqref="FW6:GM6">
    <cfRule type="containsText" dxfId="4" priority="1495" operator="containsText" text="V A C A C">
      <formula>NOT(ISERROR(SEARCH(("V A C A C"),(FW6))))</formula>
    </cfRule>
  </conditionalFormatting>
  <conditionalFormatting sqref="FW6:GM6">
    <cfRule type="containsText" dxfId="4" priority="1496" operator="containsText" text="VACAC">
      <formula>NOT(ISERROR(SEARCH(("VACAC"),(FW6))))</formula>
    </cfRule>
  </conditionalFormatting>
  <conditionalFormatting sqref="FZ6:GM6">
    <cfRule type="containsText" dxfId="6" priority="1497" operator="containsText" text="Ts">
      <formula>NOT(ISERROR(SEARCH(("Ts"),(FZ6))))</formula>
    </cfRule>
  </conditionalFormatting>
  <conditionalFormatting sqref="FZ6:GM6">
    <cfRule type="containsText" dxfId="7" priority="1498" operator="containsText" text="D">
      <formula>NOT(ISERROR(SEARCH(("D"),(FZ6))))</formula>
    </cfRule>
  </conditionalFormatting>
  <conditionalFormatting sqref="FZ6:GM6">
    <cfRule type="containsText" dxfId="8" priority="1499" operator="containsText" text="3">
      <formula>NOT(ISERROR(SEARCH(("3"),(FZ6))))</formula>
    </cfRule>
  </conditionalFormatting>
  <conditionalFormatting sqref="FZ6:GM6">
    <cfRule type="containsText" dxfId="9" priority="1500" operator="containsText" text="2">
      <formula>NOT(ISERROR(SEARCH(("2"),(FZ6))))</formula>
    </cfRule>
  </conditionalFormatting>
  <conditionalFormatting sqref="FZ6:GM6">
    <cfRule type="containsText" dxfId="10" priority="1501" operator="containsText" text="1">
      <formula>NOT(ISERROR(SEARCH(("1"),(FZ6))))</formula>
    </cfRule>
  </conditionalFormatting>
  <conditionalFormatting sqref="GC6:GF6">
    <cfRule type="containsText" dxfId="5" priority="1502" operator="containsText" text="AP">
      <formula>NOT(ISERROR(SEARCH(("AP"),(GC6))))</formula>
    </cfRule>
  </conditionalFormatting>
  <conditionalFormatting sqref="GC10:GM10">
    <cfRule type="containsText" dxfId="5" priority="1503" operator="containsText" text="AP">
      <formula>NOT(ISERROR(SEARCH(("AP"),(GC10))))</formula>
    </cfRule>
  </conditionalFormatting>
  <conditionalFormatting sqref="GD10:GM10">
    <cfRule type="containsText" dxfId="6" priority="1504" operator="containsText" text="Ts">
      <formula>NOT(ISERROR(SEARCH(("Ts"),(GD10))))</formula>
    </cfRule>
  </conditionalFormatting>
  <conditionalFormatting sqref="GD10:GM10">
    <cfRule type="containsText" dxfId="7" priority="1505" operator="containsText" text="D">
      <formula>NOT(ISERROR(SEARCH(("D"),(GD10))))</formula>
    </cfRule>
  </conditionalFormatting>
  <conditionalFormatting sqref="GD10:GM10">
    <cfRule type="containsText" dxfId="8" priority="1506" operator="containsText" text="3">
      <formula>NOT(ISERROR(SEARCH(("3"),(GD10))))</formula>
    </cfRule>
  </conditionalFormatting>
  <conditionalFormatting sqref="GD10:GM10">
    <cfRule type="containsText" dxfId="9" priority="1507" operator="containsText" text="2">
      <formula>NOT(ISERROR(SEARCH(("2"),(GD10))))</formula>
    </cfRule>
  </conditionalFormatting>
  <conditionalFormatting sqref="GD10:GM10">
    <cfRule type="containsText" dxfId="10" priority="1508" operator="containsText" text="1">
      <formula>NOT(ISERROR(SEARCH(("1"),(GD10))))</formula>
    </cfRule>
  </conditionalFormatting>
  <conditionalFormatting sqref="GD16:GM16">
    <cfRule type="containsText" dxfId="4" priority="1509" operator="containsText" text="V A C A C">
      <formula>NOT(ISERROR(SEARCH(("V A C A C"),(GD16))))</formula>
    </cfRule>
  </conditionalFormatting>
  <conditionalFormatting sqref="GD16:GM16">
    <cfRule type="containsText" dxfId="4" priority="1510" operator="containsText" text="VACAC">
      <formula>NOT(ISERROR(SEARCH(("VACAC"),(GD16))))</formula>
    </cfRule>
  </conditionalFormatting>
  <conditionalFormatting sqref="GD16:GM16">
    <cfRule type="containsText" dxfId="5" priority="1511" operator="containsText" text="AP">
      <formula>NOT(ISERROR(SEARCH(("AP"),(GD16))))</formula>
    </cfRule>
  </conditionalFormatting>
  <conditionalFormatting sqref="GD16:GM16">
    <cfRule type="containsText" dxfId="6" priority="1512" operator="containsText" text="Ts">
      <formula>NOT(ISERROR(SEARCH(("Ts"),(GD16))))</formula>
    </cfRule>
  </conditionalFormatting>
  <conditionalFormatting sqref="GD16:GM16">
    <cfRule type="containsText" dxfId="7" priority="1513" operator="containsText" text="D">
      <formula>NOT(ISERROR(SEARCH(("D"),(GD16))))</formula>
    </cfRule>
  </conditionalFormatting>
  <conditionalFormatting sqref="GD16:GM16">
    <cfRule type="containsText" dxfId="8" priority="1514" operator="containsText" text="3">
      <formula>NOT(ISERROR(SEARCH(("3"),(GD16))))</formula>
    </cfRule>
  </conditionalFormatting>
  <conditionalFormatting sqref="GD16:GM16">
    <cfRule type="containsText" dxfId="9" priority="1515" operator="containsText" text="2">
      <formula>NOT(ISERROR(SEARCH(("2"),(GD16))))</formula>
    </cfRule>
  </conditionalFormatting>
  <conditionalFormatting sqref="GD16:GM16">
    <cfRule type="containsText" dxfId="10" priority="1516" operator="containsText" text="1">
      <formula>NOT(ISERROR(SEARCH(("1"),(GD16))))</formula>
    </cfRule>
  </conditionalFormatting>
  <conditionalFormatting sqref="GD17:GM17">
    <cfRule type="containsText" dxfId="5" priority="1517" operator="containsText" text="AP">
      <formula>NOT(ISERROR(SEARCH(("AP"),(GD17))))</formula>
    </cfRule>
  </conditionalFormatting>
  <conditionalFormatting sqref="GD18:GM18">
    <cfRule type="containsText" dxfId="4" priority="1518" operator="containsText" text="V A C A C">
      <formula>NOT(ISERROR(SEARCH(("V A C A C"),(GD18))))</formula>
    </cfRule>
  </conditionalFormatting>
  <conditionalFormatting sqref="GD18:GM18">
    <cfRule type="containsText" dxfId="4" priority="1519" operator="containsText" text="VACAC">
      <formula>NOT(ISERROR(SEARCH(("VACAC"),(GD18))))</formula>
    </cfRule>
  </conditionalFormatting>
  <conditionalFormatting sqref="GD18:GM18">
    <cfRule type="containsText" dxfId="5" priority="1520" operator="containsText" text="AP">
      <formula>NOT(ISERROR(SEARCH(("AP"),(GD18))))</formula>
    </cfRule>
  </conditionalFormatting>
  <conditionalFormatting sqref="GD18:GM18">
    <cfRule type="containsText" dxfId="6" priority="1521" operator="containsText" text="Ts">
      <formula>NOT(ISERROR(SEARCH(("Ts"),(GD18))))</formula>
    </cfRule>
  </conditionalFormatting>
  <conditionalFormatting sqref="GD18:GM18">
    <cfRule type="containsText" dxfId="7" priority="1522" operator="containsText" text="D">
      <formula>NOT(ISERROR(SEARCH(("D"),(GD18))))</formula>
    </cfRule>
  </conditionalFormatting>
  <conditionalFormatting sqref="GD18:GM18">
    <cfRule type="containsText" dxfId="8" priority="1523" operator="containsText" text="3">
      <formula>NOT(ISERROR(SEARCH(("3"),(GD18))))</formula>
    </cfRule>
  </conditionalFormatting>
  <conditionalFormatting sqref="GD18:GM18">
    <cfRule type="containsText" dxfId="9" priority="1524" operator="containsText" text="2">
      <formula>NOT(ISERROR(SEARCH(("2"),(GD18))))</formula>
    </cfRule>
  </conditionalFormatting>
  <conditionalFormatting sqref="GD18:GM18">
    <cfRule type="containsText" dxfId="10" priority="1525" operator="containsText" text="1">
      <formula>NOT(ISERROR(SEARCH(("1"),(GD18))))</formula>
    </cfRule>
  </conditionalFormatting>
  <conditionalFormatting sqref="GD30:GM30">
    <cfRule type="containsText" dxfId="5" priority="1526" operator="containsText" text="AP">
      <formula>NOT(ISERROR(SEARCH(("AP"),(GD30))))</formula>
    </cfRule>
  </conditionalFormatting>
  <conditionalFormatting sqref="GD30:GM30">
    <cfRule type="containsText" dxfId="6" priority="1527" operator="containsText" text="Ts">
      <formula>NOT(ISERROR(SEARCH(("Ts"),(GD30))))</formula>
    </cfRule>
  </conditionalFormatting>
  <conditionalFormatting sqref="GD30:GM30">
    <cfRule type="containsText" dxfId="7" priority="1528" operator="containsText" text="D">
      <formula>NOT(ISERROR(SEARCH(("D"),(GD30))))</formula>
    </cfRule>
  </conditionalFormatting>
  <conditionalFormatting sqref="GD30:GM30">
    <cfRule type="containsText" dxfId="8" priority="1529" operator="containsText" text="3">
      <formula>NOT(ISERROR(SEARCH(("3"),(GD30))))</formula>
    </cfRule>
  </conditionalFormatting>
  <conditionalFormatting sqref="GD30:GM30">
    <cfRule type="containsText" dxfId="9" priority="1530" operator="containsText" text="2">
      <formula>NOT(ISERROR(SEARCH(("2"),(GD30))))</formula>
    </cfRule>
  </conditionalFormatting>
  <conditionalFormatting sqref="GD30:GM30">
    <cfRule type="containsText" dxfId="10" priority="1531" operator="containsText" text="1">
      <formula>NOT(ISERROR(SEARCH(("1"),(GD30))))</formula>
    </cfRule>
  </conditionalFormatting>
  <conditionalFormatting sqref="GG20">
    <cfRule type="containsText" dxfId="6" priority="1532" operator="containsText" text="Ts">
      <formula>NOT(ISERROR(SEARCH(("Ts"),(GG20))))</formula>
    </cfRule>
  </conditionalFormatting>
  <conditionalFormatting sqref="GG20">
    <cfRule type="containsText" dxfId="7" priority="1533" operator="containsText" text="D">
      <formula>NOT(ISERROR(SEARCH(("D"),(GG20))))</formula>
    </cfRule>
  </conditionalFormatting>
  <conditionalFormatting sqref="GG20">
    <cfRule type="containsText" dxfId="8" priority="1534" operator="containsText" text="3">
      <formula>NOT(ISERROR(SEARCH(("3"),(GG20))))</formula>
    </cfRule>
  </conditionalFormatting>
  <conditionalFormatting sqref="GG20">
    <cfRule type="containsText" dxfId="9" priority="1535" operator="containsText" text="2">
      <formula>NOT(ISERROR(SEARCH(("2"),(GG20))))</formula>
    </cfRule>
  </conditionalFormatting>
  <conditionalFormatting sqref="GG20:GJ20">
    <cfRule type="containsText" dxfId="10" priority="1536" operator="containsText" text="1">
      <formula>NOT(ISERROR(SEARCH(("1"),(GG20))))</formula>
    </cfRule>
  </conditionalFormatting>
  <conditionalFormatting sqref="GG6:GM6">
    <cfRule type="containsText" dxfId="5" priority="1537" operator="containsText" text="AP">
      <formula>NOT(ISERROR(SEARCH(("AP"),(GG6))))</formula>
    </cfRule>
  </conditionalFormatting>
  <conditionalFormatting sqref="GH14:GM14">
    <cfRule type="containsText" dxfId="4" priority="1538" operator="containsText" text="V A C A C">
      <formula>NOT(ISERROR(SEARCH(("V A C A C"),(GH14))))</formula>
    </cfRule>
  </conditionalFormatting>
  <conditionalFormatting sqref="GH14:GM14">
    <cfRule type="containsText" dxfId="4" priority="1539" operator="containsText" text="VACAC">
      <formula>NOT(ISERROR(SEARCH(("VACAC"),(GH14))))</formula>
    </cfRule>
  </conditionalFormatting>
  <conditionalFormatting sqref="GH14:GM14">
    <cfRule type="containsText" dxfId="7" priority="1540" operator="containsText" text="D">
      <formula>NOT(ISERROR(SEARCH(("D"),(GH14))))</formula>
    </cfRule>
  </conditionalFormatting>
  <conditionalFormatting sqref="GH14:GM14">
    <cfRule type="containsText" dxfId="8" priority="1541" operator="containsText" text="3">
      <formula>NOT(ISERROR(SEARCH(("3"),(GH14))))</formula>
    </cfRule>
  </conditionalFormatting>
  <conditionalFormatting sqref="GH14:GM14">
    <cfRule type="containsText" dxfId="9" priority="1542" operator="containsText" text="2">
      <formula>NOT(ISERROR(SEARCH(("2"),(GH14))))</formula>
    </cfRule>
  </conditionalFormatting>
  <conditionalFormatting sqref="GH14:GM14">
    <cfRule type="containsText" dxfId="10" priority="1543" operator="containsText" text="1">
      <formula>NOT(ISERROR(SEARCH(("1"),(GH14))))</formula>
    </cfRule>
  </conditionalFormatting>
  <conditionalFormatting sqref="GH20:GM20">
    <cfRule type="containsText" dxfId="4" priority="1544" operator="containsText" text="V A C A C">
      <formula>NOT(ISERROR(SEARCH(("V A C A C"),(GH20))))</formula>
    </cfRule>
  </conditionalFormatting>
  <conditionalFormatting sqref="GH20:GM20">
    <cfRule type="containsText" dxfId="4" priority="1545" operator="containsText" text="VACAC">
      <formula>NOT(ISERROR(SEARCH(("VACAC"),(GH20))))</formula>
    </cfRule>
  </conditionalFormatting>
  <conditionalFormatting sqref="GH20:GM20">
    <cfRule type="containsText" dxfId="5" priority="1546" operator="containsText" text="AP">
      <formula>NOT(ISERROR(SEARCH(("AP"),(GH20))))</formula>
    </cfRule>
  </conditionalFormatting>
  <conditionalFormatting sqref="GH20:GM20">
    <cfRule type="containsText" dxfId="6" priority="1547" operator="containsText" text="Ts">
      <formula>NOT(ISERROR(SEARCH(("Ts"),(GH20))))</formula>
    </cfRule>
  </conditionalFormatting>
  <conditionalFormatting sqref="GH20:GM20">
    <cfRule type="containsText" dxfId="7" priority="1548" operator="containsText" text="D">
      <formula>NOT(ISERROR(SEARCH(("D"),(GH20))))</formula>
    </cfRule>
  </conditionalFormatting>
  <conditionalFormatting sqref="GH20:GM20">
    <cfRule type="containsText" dxfId="8" priority="1549" operator="containsText" text="3">
      <formula>NOT(ISERROR(SEARCH(("3"),(GH20))))</formula>
    </cfRule>
  </conditionalFormatting>
  <conditionalFormatting sqref="GH20:GM20">
    <cfRule type="containsText" dxfId="9" priority="1550" operator="containsText" text="2">
      <formula>NOT(ISERROR(SEARCH(("2"),(GH20))))</formula>
    </cfRule>
  </conditionalFormatting>
  <conditionalFormatting sqref="GK20:GM20">
    <cfRule type="containsText" dxfId="10" priority="1551" operator="containsText" text="1">
      <formula>NOT(ISERROR(SEARCH(("1"),(GK20))))</formula>
    </cfRule>
  </conditionalFormatting>
  <conditionalFormatting sqref="GP7">
    <cfRule type="containsText" dxfId="4" priority="1552" operator="containsText" text="V A C A C">
      <formula>NOT(ISERROR(SEARCH(("V A C A C"),(GP7))))</formula>
    </cfRule>
  </conditionalFormatting>
  <conditionalFormatting sqref="GP7">
    <cfRule type="containsText" dxfId="4" priority="1553" operator="containsText" text="VACAC">
      <formula>NOT(ISERROR(SEARCH(("VACAC"),(GP7))))</formula>
    </cfRule>
  </conditionalFormatting>
  <conditionalFormatting sqref="GP7">
    <cfRule type="containsText" dxfId="6" priority="1554" operator="containsText" text="Ts">
      <formula>NOT(ISERROR(SEARCH(("Ts"),(GP7))))</formula>
    </cfRule>
  </conditionalFormatting>
  <conditionalFormatting sqref="GP7">
    <cfRule type="containsText" dxfId="7" priority="1555" operator="containsText" text="D">
      <formula>NOT(ISERROR(SEARCH(("D"),(GP7))))</formula>
    </cfRule>
  </conditionalFormatting>
  <conditionalFormatting sqref="GP7">
    <cfRule type="containsText" dxfId="8" priority="1556" operator="containsText" text="3">
      <formula>NOT(ISERROR(SEARCH(("3"),(GP7))))</formula>
    </cfRule>
  </conditionalFormatting>
  <conditionalFormatting sqref="GP7">
    <cfRule type="containsText" dxfId="9" priority="1557" operator="containsText" text="2">
      <formula>NOT(ISERROR(SEARCH(("2"),(GP7))))</formula>
    </cfRule>
  </conditionalFormatting>
  <conditionalFormatting sqref="GP7">
    <cfRule type="containsText" dxfId="10" priority="1558" operator="containsText" text="1">
      <formula>NOT(ISERROR(SEARCH(("1"),(GP7))))</formula>
    </cfRule>
  </conditionalFormatting>
  <conditionalFormatting sqref="GP20:GS20 GW20:HQ20 HT20:IU20 IX20:KF20 KI20:LJ20 LM20:MN20 MQ20:NY20 OB20:OC20">
    <cfRule type="containsText" dxfId="6" priority="1559" operator="containsText" text="Ts">
      <formula>NOT(ISERROR(SEARCH(("Ts"),(GP20))))</formula>
    </cfRule>
  </conditionalFormatting>
  <conditionalFormatting sqref="GP20:GS20 GW20:HQ20 HT20:IU20 IX20:KF20 KI20:LJ20 LM20:MN20 MQ20:NY20 OB20:OC20">
    <cfRule type="containsText" dxfId="7" priority="1560" operator="containsText" text="D">
      <formula>NOT(ISERROR(SEARCH(("D"),(GP20))))</formula>
    </cfRule>
  </conditionalFormatting>
  <conditionalFormatting sqref="GP20:GS20 GW20:HQ20 HT20:IU20 IX20:KF20 KI20:LJ20 LM20:MN20 MQ20:NY20 OB20:OC20">
    <cfRule type="containsText" dxfId="8" priority="1561" operator="containsText" text="3">
      <formula>NOT(ISERROR(SEARCH(("3"),(GP20))))</formula>
    </cfRule>
  </conditionalFormatting>
  <conditionalFormatting sqref="GP20:GS20 GW20:HQ20 HT20:IU20 IX20:KF20 KI20:LJ20 LM20:MN20 MQ20:NY20 OB20:OC20">
    <cfRule type="containsText" dxfId="9" priority="1562" operator="containsText" text="2">
      <formula>NOT(ISERROR(SEARCH(("2"),(GP20))))</formula>
    </cfRule>
  </conditionalFormatting>
  <conditionalFormatting sqref="GP20:GS20 GW20:HQ20 HT20:IU20 IX20:KF20 KI20:LJ20 LM20:MN20 MQ20:NY20 OB20:OC20">
    <cfRule type="containsText" dxfId="10" priority="1563" operator="containsText" text="1">
      <formula>NOT(ISERROR(SEARCH(("1"),(GP20))))</formula>
    </cfRule>
  </conditionalFormatting>
  <conditionalFormatting sqref="GP20:GT20 GW20:HQ20 HT20:IU20 IX20:KF20 KI20:LJ20 LM20:MN20 MQ20:NY20 OB20:OC20">
    <cfRule type="containsText" dxfId="4" priority="1564" operator="containsText" text="V A C A C">
      <formula>NOT(ISERROR(SEARCH(("V A C A C"),(GP20))))</formula>
    </cfRule>
  </conditionalFormatting>
  <conditionalFormatting sqref="GP20:GT20 GW20:HQ20 HT20:IU20 IX20:KF20 KI20:LJ20 LM20:MN20 MQ20:NY20 OB20:OC20">
    <cfRule type="containsText" dxfId="4" priority="1565" operator="containsText" text="VACAC">
      <formula>NOT(ISERROR(SEARCH(("VACAC"),(GP20))))</formula>
    </cfRule>
  </conditionalFormatting>
  <conditionalFormatting sqref="GP20:GT20 GW20:HQ20 HT20:IU20 IX20:KF20 KI20:LJ20 LM20:MN20 MQ20:NY20 OB20:OC20">
    <cfRule type="containsText" dxfId="5" priority="1566" operator="containsText" text="AP">
      <formula>NOT(ISERROR(SEARCH(("AP"),(GP20))))</formula>
    </cfRule>
  </conditionalFormatting>
  <conditionalFormatting sqref="GP9:HQ9 GP11:HQ11 GP13:HQ13 GP35:HB35 HD35:HQ35 HT9:IU9 HT11:IU11 HT13:IU13 HT35:II35 IK35:IU35 IX9:KF9 IX11:KF11 IX13:KF13 IX35:JP35 JR35:KF35 KI9:LJ9 KI11:LJ11 KI13:LJ13 KI35:KV35 KX35:LJ35 LM9:MN9 LM11:MN11 LM13:MN13 LM35:MC35 ME35:MN35 MQ9:NY9 MQ11:NY11 MQ13:NY13 MQ35:NI35 NK35:NY35 OB9:OC9 OB11:OC11 OB13:OC13 OB35:OC35">
    <cfRule type="containsText" dxfId="11" priority="1567" operator="containsText" text="ex">
      <formula>NOT(ISERROR(SEARCH(("ex"),(GP9))))</formula>
    </cfRule>
  </conditionalFormatting>
  <conditionalFormatting sqref="D36:BI36 BL36:CT36 GP6:HQ6 HT6:IU6 IX6:KF6 KI6:LJ6 LM6:MN6 MQ6:NY6 OB6:OC6">
    <cfRule type="containsText" dxfId="7" priority="1568" operator="containsText" text="D">
      <formula>NOT(ISERROR(SEARCH(("D"),(D36))))</formula>
    </cfRule>
  </conditionalFormatting>
  <conditionalFormatting sqref="D36:BI36 BL36:CT36 GP6:HQ6 HT6:IU6 IX6:KF6 KI6:LJ6 LM6:MN6 MQ6:NY6 OB6:OC6">
    <cfRule type="containsText" dxfId="8" priority="1569" operator="containsText" text="3">
      <formula>NOT(ISERROR(SEARCH(("3"),(D36))))</formula>
    </cfRule>
  </conditionalFormatting>
  <conditionalFormatting sqref="D36:BI36 BL36:CT36 GP6:HQ6 HT6:IU6 IX6:KF6 KI6:LJ6 LM6:MN6 MQ6:NY6 OB6:OC6">
    <cfRule type="containsText" dxfId="9" priority="1570" operator="containsText" text="2">
      <formula>NOT(ISERROR(SEARCH(("2"),(D36))))</formula>
    </cfRule>
  </conditionalFormatting>
  <conditionalFormatting sqref="D36:BI36 BL36:CT36 GP6:HQ6 HT6:IU6 IX6:KF6 KI6:LJ6 LM6:MN6 MQ6:NY6 OB6:OC6">
    <cfRule type="containsText" dxfId="10" priority="1571" operator="containsText" text="1">
      <formula>NOT(ISERROR(SEARCH(("1"),(D36))))</formula>
    </cfRule>
  </conditionalFormatting>
  <conditionalFormatting sqref="GP6:HQ7 HT6:IU7 IX6:KF7 KI6:LJ7 LM6:MN7 MQ6:NY7 OB6:OC7">
    <cfRule type="containsText" dxfId="5" priority="1572" operator="containsText" text="AP">
      <formula>NOT(ISERROR(SEARCH(("AP"),(GP6))))</formula>
    </cfRule>
  </conditionalFormatting>
  <conditionalFormatting sqref="GP7:HQ7 HT7:IU7 IX7:KF7 KI7:LJ7 LM7:MN7 MQ7:NY7 OB7:OC7">
    <cfRule type="containsText" dxfId="11" priority="1573" operator="containsText" text="ex">
      <formula>NOT(ISERROR(SEARCH(("ex"),(GP7))))</formula>
    </cfRule>
  </conditionalFormatting>
  <conditionalFormatting sqref="GP8:HQ8 HT8:IU8 IX8:KF8 KI8:LJ8 LM8:MN8 MQ8:NY8 OB8:OC8">
    <cfRule type="containsText" dxfId="4" priority="1574" operator="containsText" text="V A C A C">
      <formula>NOT(ISERROR(SEARCH(("V A C A C"),(GP8))))</formula>
    </cfRule>
  </conditionalFormatting>
  <conditionalFormatting sqref="GP8:HQ8 HT8:IU8 IX8:KF8 KI8:LJ8 LM8:MN8 MQ8:NY8 OB8:OC8">
    <cfRule type="containsText" dxfId="4" priority="1575" operator="containsText" text="VACAC">
      <formula>NOT(ISERROR(SEARCH(("VACAC"),(GP8))))</formula>
    </cfRule>
  </conditionalFormatting>
  <conditionalFormatting sqref="GP8:HQ8 HT8:IU8 IX8:KF8 KI8:LJ8 LM8:MN8 MQ8:NY8 OB8:OC8">
    <cfRule type="containsText" dxfId="5" priority="1576" operator="containsText" text="AP">
      <formula>NOT(ISERROR(SEARCH(("AP"),(GP8))))</formula>
    </cfRule>
  </conditionalFormatting>
  <conditionalFormatting sqref="GP8:HQ8 HT8:IU8 IX8:KF8 KI8:LJ8 LM8:MN8 MQ8:NY8 OB8:OC8">
    <cfRule type="containsText" dxfId="6" priority="1577" operator="containsText" text="Ts">
      <formula>NOT(ISERROR(SEARCH(("Ts"),(GP8))))</formula>
    </cfRule>
  </conditionalFormatting>
  <conditionalFormatting sqref="GP8:HQ8 HT8:IU8 IX8:KF8 KI8:LJ8 LM8:MN8 MQ8:NY8 OB8:OC8">
    <cfRule type="containsText" dxfId="7" priority="1578" operator="containsText" text="D">
      <formula>NOT(ISERROR(SEARCH(("D"),(GP8))))</formula>
    </cfRule>
  </conditionalFormatting>
  <conditionalFormatting sqref="GP8:HQ8 HT8:IU8 IX8:KF8 KI8:LJ8 LM8:MN8 MQ8:NY8 OB8:OC8">
    <cfRule type="containsText" dxfId="8" priority="1579" operator="containsText" text="3">
      <formula>NOT(ISERROR(SEARCH(("3"),(GP8))))</formula>
    </cfRule>
  </conditionalFormatting>
  <conditionalFormatting sqref="GP8:HQ8 HT8:IU8 IX8:KF8 KI8:LJ8 LM8:MN8 MQ8:NY8 OB8:OC8">
    <cfRule type="containsText" dxfId="9" priority="1580" operator="containsText" text="2">
      <formula>NOT(ISERROR(SEARCH(("2"),(GP8))))</formula>
    </cfRule>
  </conditionalFormatting>
  <conditionalFormatting sqref="GP8:HQ8 HT8:IU8 IX8:KF8 KI8:LJ8 LM8:MN8 MQ8:NY8 OB8:OC8">
    <cfRule type="containsText" dxfId="10" priority="1581" operator="containsText" text="1">
      <formula>NOT(ISERROR(SEARCH(("1"),(GP8))))</formula>
    </cfRule>
  </conditionalFormatting>
  <conditionalFormatting sqref="GP9:HQ9 GP11:HQ11 GP13:HQ13 HT9:IU9 HT11:IU11 HT13:IU13 IX9:KF9 IX11:KF11 IX13:KF13 KI9:LJ9 KI11:LJ11 KI13:LJ13 LM9:MN9 LM11:MN11 LM13:MN13 MQ9:NY9 MQ11:NY11 MQ13:NY13 OB9:OC9 OB11:OC11 OB13:OC13">
    <cfRule type="containsText" dxfId="5" priority="1582" operator="containsText" text="AP">
      <formula>NOT(ISERROR(SEARCH(("AP"),(GP9))))</formula>
    </cfRule>
  </conditionalFormatting>
  <conditionalFormatting sqref="GP10:HQ10 HT10:IU10 IX10:KF10 KI10:LJ10 LM10:MN10 MQ10:NY10 OB10:OC10">
    <cfRule type="containsText" dxfId="4" priority="1583" operator="containsText" text="V A C A C">
      <formula>NOT(ISERROR(SEARCH(("V A C A C"),(GP10))))</formula>
    </cfRule>
  </conditionalFormatting>
  <conditionalFormatting sqref="GP10:HQ10 HT10:IU10 IX10:KF10 KI10:LJ10 LM10:MN10 MQ10:NY10 OB10:OC10">
    <cfRule type="containsText" dxfId="4" priority="1584" operator="containsText" text="VACAC">
      <formula>NOT(ISERROR(SEARCH(("VACAC"),(GP10))))</formula>
    </cfRule>
  </conditionalFormatting>
  <conditionalFormatting sqref="GP10:HQ10 HT10:IU10 IX10:KF10 KI10:LJ10 LM10:MN10 MQ10:NY10 OB10:OC10">
    <cfRule type="containsText" dxfId="5" priority="1585" operator="containsText" text="AP">
      <formula>NOT(ISERROR(SEARCH(("AP"),(GP10))))</formula>
    </cfRule>
  </conditionalFormatting>
  <conditionalFormatting sqref="GP10:HQ10 HT10:IU10 IX10:KF10 KI10:LJ10 LM10:MN10 MQ10:NY10 OB10:OC10">
    <cfRule type="containsText" dxfId="6" priority="1586" operator="containsText" text="Ts">
      <formula>NOT(ISERROR(SEARCH(("Ts"),(GP10))))</formula>
    </cfRule>
  </conditionalFormatting>
  <conditionalFormatting sqref="GP10:HQ10 HT10:IU10 IX10:KF10 KI10:LJ10 LM10:MN10 MQ10:NY10 OB10:OC10">
    <cfRule type="containsText" dxfId="7" priority="1587" operator="containsText" text="D">
      <formula>NOT(ISERROR(SEARCH(("D"),(GP10))))</formula>
    </cfRule>
  </conditionalFormatting>
  <conditionalFormatting sqref="GP10:HQ10 HT10:IU10 IX10:KF10 KI10:LJ10 LM10:MN10 MQ10:NY10 OB10:OC10">
    <cfRule type="containsText" dxfId="8" priority="1588" operator="containsText" text="3">
      <formula>NOT(ISERROR(SEARCH(("3"),(GP10))))</formula>
    </cfRule>
  </conditionalFormatting>
  <conditionalFormatting sqref="GP10:HQ10 HT10:IU10 IX10:KF10 KI10:LJ10 LM10:MN10 MQ10:NY10 OB10:OC10">
    <cfRule type="containsText" dxfId="9" priority="1589" operator="containsText" text="2">
      <formula>NOT(ISERROR(SEARCH(("2"),(GP10))))</formula>
    </cfRule>
  </conditionalFormatting>
  <conditionalFormatting sqref="GP10:HQ10 HT10:IU10 IX10:KF10 KI10:LJ10 LM10:MN10 MQ10:NY10 OB10:OC10">
    <cfRule type="containsText" dxfId="10" priority="1590" operator="containsText" text="1">
      <formula>NOT(ISERROR(SEARCH(("1"),(GP10))))</formula>
    </cfRule>
  </conditionalFormatting>
  <conditionalFormatting sqref="GP12:HQ12 HT12:IU12 IX12:KF12 KI12:LJ12 LM12:MN12 MQ12:NY12 OB12:OC12">
    <cfRule type="containsText" dxfId="4" priority="1591" operator="containsText" text="V A C A C">
      <formula>NOT(ISERROR(SEARCH(("V A C A C"),(GP12))))</formula>
    </cfRule>
  </conditionalFormatting>
  <conditionalFormatting sqref="GP12:HQ12 HT12:IU12 IX12:KF12 KI12:LJ12 LM12:MN12 MQ12:NY12 OB12:OC12">
    <cfRule type="containsText" dxfId="4" priority="1592" operator="containsText" text="VACAC">
      <formula>NOT(ISERROR(SEARCH(("VACAC"),(GP12))))</formula>
    </cfRule>
  </conditionalFormatting>
  <conditionalFormatting sqref="GP12:HQ12 HT12:IU12 IX12:KF12 KI12:LJ12 LM12:MN12 MQ12:NY12 OB12:OC12">
    <cfRule type="containsText" dxfId="5" priority="1593" operator="containsText" text="AP">
      <formula>NOT(ISERROR(SEARCH(("AP"),(GP12))))</formula>
    </cfRule>
  </conditionalFormatting>
  <conditionalFormatting sqref="GP12:HQ12 HT12:IU12 IX12:KF12 KI12:LJ12 LM12:MN12 MQ12:NY12 OB12:OC12">
    <cfRule type="containsText" dxfId="6" priority="1594" operator="containsText" text="Ts">
      <formula>NOT(ISERROR(SEARCH(("Ts"),(GP12))))</formula>
    </cfRule>
  </conditionalFormatting>
  <conditionalFormatting sqref="GP12:HQ12 HT12:IU12 IX12:KF12 KI12:LJ12 LM12:MN12 MQ12:NY12 OB12:OC12">
    <cfRule type="containsText" dxfId="7" priority="1595" operator="containsText" text="D">
      <formula>NOT(ISERROR(SEARCH(("D"),(GP12))))</formula>
    </cfRule>
  </conditionalFormatting>
  <conditionalFormatting sqref="GP12:HQ12 HT12:IU12 IX12:KF12 KI12:LJ12 LM12:MN12 MQ12:NY12 OB12:OC12">
    <cfRule type="containsText" dxfId="8" priority="1596" operator="containsText" text="3">
      <formula>NOT(ISERROR(SEARCH(("3"),(GP12))))</formula>
    </cfRule>
  </conditionalFormatting>
  <conditionalFormatting sqref="GP12:HQ12 HT12:IU12 IX12:KF12 KI12:LJ12 LM12:MN12 MQ12:NY12 OB12:OC12">
    <cfRule type="containsText" dxfId="9" priority="1597" operator="containsText" text="2">
      <formula>NOT(ISERROR(SEARCH(("2"),(GP12))))</formula>
    </cfRule>
  </conditionalFormatting>
  <conditionalFormatting sqref="GP12:HQ12 HT12:IU12 IX12:KF12 KI12:LJ12 LM12:MN12 MQ12:NY12 OB12:OC12">
    <cfRule type="containsText" dxfId="10" priority="1598" operator="containsText" text="1">
      <formula>NOT(ISERROR(SEARCH(("1"),(GP12))))</formula>
    </cfRule>
  </conditionalFormatting>
  <conditionalFormatting sqref="GP14:HQ14 HT14:IU14 IX14:KF14 KI14:LJ14 LM14:MN14 MQ14:NY14 OB14:OC14">
    <cfRule type="containsText" dxfId="4" priority="1599" operator="containsText" text="V A C A C">
      <formula>NOT(ISERROR(SEARCH(("V A C A C"),(GP14))))</formula>
    </cfRule>
  </conditionalFormatting>
  <conditionalFormatting sqref="GP14:HQ14 HT14:IU14 IX14:KF14 KI14:LJ14 LM14:MN14 MQ14:NY14 OB14:OC14">
    <cfRule type="containsText" dxfId="4" priority="1600" operator="containsText" text="VACAC">
      <formula>NOT(ISERROR(SEARCH(("VACAC"),(GP14))))</formula>
    </cfRule>
  </conditionalFormatting>
  <conditionalFormatting sqref="GP14:HQ14 HT14:IU14 IX14:KF14 KI14:LJ14 LM14:MN14 MQ14:NY14 OB14:OC14">
    <cfRule type="containsText" dxfId="5" priority="1601" operator="containsText" text="AP">
      <formula>NOT(ISERROR(SEARCH(("AP"),(GP14))))</formula>
    </cfRule>
  </conditionalFormatting>
  <conditionalFormatting sqref="GP14:HQ14 HT14:IU14 IX14:KF14 KI14:LJ14 LM14:MN14 MQ14:NY14 OB14:OC14">
    <cfRule type="containsText" dxfId="6" priority="1602" operator="containsText" text="Ts">
      <formula>NOT(ISERROR(SEARCH(("Ts"),(GP14))))</formula>
    </cfRule>
  </conditionalFormatting>
  <conditionalFormatting sqref="GP14:HQ14 HT14:IU14 IX14:KF14 KI14:LJ14 LM14:MN14 MQ14:NY14 OB14:OC14">
    <cfRule type="containsText" dxfId="7" priority="1603" operator="containsText" text="D">
      <formula>NOT(ISERROR(SEARCH(("D"),(GP14))))</formula>
    </cfRule>
  </conditionalFormatting>
  <conditionalFormatting sqref="GP14:HQ14 HT14:IU14 IX14:KF14 KI14:LJ14 LM14:MN14 MQ14:NY14 OB14:OC14">
    <cfRule type="containsText" dxfId="8" priority="1604" operator="containsText" text="3">
      <formula>NOT(ISERROR(SEARCH(("3"),(GP14))))</formula>
    </cfRule>
  </conditionalFormatting>
  <conditionalFormatting sqref="GP14:HQ14 HT14:IU14 IX14:KF14 KI14:LJ14 LM14:MN14 MQ14:NY14 OB14:OC14">
    <cfRule type="containsText" dxfId="9" priority="1605" operator="containsText" text="2">
      <formula>NOT(ISERROR(SEARCH(("2"),(GP14))))</formula>
    </cfRule>
  </conditionalFormatting>
  <conditionalFormatting sqref="GP14:HQ14 HT14:IU14 IX14:KF14 KI14:LJ14 LM14:MN14 MQ14:NY14 OB14:OC14">
    <cfRule type="containsText" dxfId="10" priority="1606" operator="containsText" text="1">
      <formula>NOT(ISERROR(SEARCH(("1"),(GP14))))</formula>
    </cfRule>
  </conditionalFormatting>
  <conditionalFormatting sqref="D39:BI1000 BL39:CT1000 CW39:DX1000 EA39:FB1000 FE39:GM1000 GP15:HQ15 GP17:HQ17 GP19:HQ19 GP21:HQ21 GP23:HQ23 GP25:HQ25 GP27:HQ27 GP29:HQ29 GP31:HQ31 GP33:HQ33 GP39:HQ1000 HT15:IU15 HT17:IU17 HT19:IU19 HT21:IU21 HT23:IU23 HT25:IU25 HT27:IU27 HT29:IU29 HT31:IU31 HT33:IU33 HT39:IU1000 IX15:KF15 IX17:KF17 IX19:KF19 IX21:KF21 IX23:KF23 IX25:KF25 IX27:KF27 IX29:KF29 IX31:KF31 IX33:KF33 IX39:KF1000 KI15:LJ15 KI17:LJ17 KI19:LJ19 KI21:LJ21 KI23:LJ23 KI25:LJ25 KI27:LJ27 KI29:LJ29 KI31:LJ31 KI33:LJ33 KI39:LJ1000 LM15:MN15 LM17:MN17 LM19:MN19 LM21:MN21 LM23:MN23 LM25:MN25 LM27:MN27 LM29:MN29 LM31:MN31 LM33:MN33 LM39:MN1000 MQ15:NY15 MQ17:NY17 MQ19:NY19 MQ21:NY21 MQ23:NY23 MQ25:NY25 MQ27:NY27 MQ29:NY29 MQ31:NY31 MQ33:NY33 MQ39:NY1000 OB15:OC15 OB17:OC17 OB19:OC19 OB21:OC21 OB23:OC23 OB25:OC25 OB27:OC27 OB29:OC29 OB31:OC31 OB33:OC33 OB39:OC1000">
    <cfRule type="containsText" dxfId="11" priority="1607" operator="containsText" text="ex">
      <formula>NOT(ISERROR(SEARCH(("ex"),(D39))))</formula>
    </cfRule>
  </conditionalFormatting>
  <conditionalFormatting sqref="GP16:HQ16 GP18:HQ18 HT16:IU16 HT18:IU18 IX16:KF16 IX18:JB18 JE18:KF18 KI16:LJ16 KI18:LJ18 LM16:MN16 LM18:MN18 MQ16:NY16 MQ18:NY18 OB16:OC16 OB18:OC18">
    <cfRule type="containsText" dxfId="4" priority="1608" operator="containsText" text="V A C A C">
      <formula>NOT(ISERROR(SEARCH(("V A C A C"),(GP16))))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4" priority="1609" operator="containsText" text="VACAC">
      <formula>NOT(ISERROR(SEARCH(("VACAC"),(GP16))))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6" priority="1610" operator="containsText" text="Ts">
      <formula>NOT(ISERROR(SEARCH(("Ts"),(GP16))))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7" priority="1611" operator="containsText" text="D">
      <formula>NOT(ISERROR(SEARCH(("D"),(GP16))))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8" priority="1612" operator="containsText" text="3">
      <formula>NOT(ISERROR(SEARCH(("3"),(GP16))))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9" priority="1613" operator="containsText" text="2">
      <formula>NOT(ISERROR(SEARCH(("2"),(GP16))))</formula>
    </cfRule>
  </conditionalFormatting>
  <conditionalFormatting sqref="GP16:HQ16 GP18:HQ18 HT16:IU16 HT18:IU18 IX16:KF16 IX18:JB18 JE18:KF18 KI16:LJ16 KI18:LJ18 LM16:MN16 LM18:MN18 MQ16:NY16 MQ18:NY18 OB16:OC16 OB18:OC18">
    <cfRule type="containsText" dxfId="10" priority="1614" operator="containsText" text="1">
      <formula>NOT(ISERROR(SEARCH(("1"),(GP16))))</formula>
    </cfRule>
  </conditionalFormatting>
  <conditionalFormatting sqref="GP22:HQ22 HT22:IU22 IX22:KF22 KI22:LJ22 LM22:MN22 MQ22:NY22 OB22:OC22">
    <cfRule type="containsText" dxfId="4" priority="1615" operator="containsText" text="V A C A C">
      <formula>NOT(ISERROR(SEARCH(("V A C A C"),(GP22))))</formula>
    </cfRule>
  </conditionalFormatting>
  <conditionalFormatting sqref="GP22:HQ22 HT22:IU22 IX22:KF22 KI22:LJ22 LM22:MN22 MQ22:NY22 OB22:OC22">
    <cfRule type="containsText" dxfId="4" priority="1616" operator="containsText" text="VACAC">
      <formula>NOT(ISERROR(SEARCH(("VACAC"),(GP22))))</formula>
    </cfRule>
  </conditionalFormatting>
  <conditionalFormatting sqref="GP22:HQ22 HT22:IU22 IX22:KF22 KI22:LJ22 LM22:MN22 MQ22:NY22 OB22:OC22">
    <cfRule type="containsText" dxfId="5" priority="1617" operator="containsText" text="AP">
      <formula>NOT(ISERROR(SEARCH(("AP"),(GP22))))</formula>
    </cfRule>
  </conditionalFormatting>
  <conditionalFormatting sqref="GP22:HQ22 HT22:IU22 IX22:KF22 KI22:LJ22 LM22:MN22 MQ22:NY22 OB22:OC22">
    <cfRule type="containsText" dxfId="6" priority="1618" operator="containsText" text="Ts">
      <formula>NOT(ISERROR(SEARCH(("Ts"),(GP22))))</formula>
    </cfRule>
  </conditionalFormatting>
  <conditionalFormatting sqref="GP22:HQ22 HT22:IU22 IX22:KF22 KI22:LJ22 LM22:MN22 MQ22:NY22 OB22:OC22">
    <cfRule type="containsText" dxfId="7" priority="1619" operator="containsText" text="D">
      <formula>NOT(ISERROR(SEARCH(("D"),(GP22))))</formula>
    </cfRule>
  </conditionalFormatting>
  <conditionalFormatting sqref="GP22:HQ22 HT22:IU22 IX22:KF22 KI22:LJ22 LM22:MN22 MQ22:NY22 OB22:OC22">
    <cfRule type="containsText" dxfId="8" priority="1620" operator="containsText" text="3">
      <formula>NOT(ISERROR(SEARCH(("3"),(GP22))))</formula>
    </cfRule>
  </conditionalFormatting>
  <conditionalFormatting sqref="GP22:HQ22 HT22:IU22 IX22:KF22 KI22:LJ22 LM22:MN22 MQ22:NY22 OB22:OC22">
    <cfRule type="containsText" dxfId="9" priority="1621" operator="containsText" text="2">
      <formula>NOT(ISERROR(SEARCH(("2"),(GP22))))</formula>
    </cfRule>
  </conditionalFormatting>
  <conditionalFormatting sqref="GP22:HQ22 HT22:IU22 IX22:KF22 KI22:LJ22 LM22:MN22 MQ22:NY22 OB22:OC22">
    <cfRule type="containsText" dxfId="10" priority="1622" operator="containsText" text="1">
      <formula>NOT(ISERROR(SEARCH(("1"),(GP22))))</formula>
    </cfRule>
  </conditionalFormatting>
  <conditionalFormatting sqref="GP24:HQ24 HT24:IU24 IX24:KF24 KI24:LJ24 LM24:MN24 MQ24:NY24 OB24:OC24">
    <cfRule type="containsText" dxfId="4" priority="1623" operator="containsText" text="V A C A C">
      <formula>NOT(ISERROR(SEARCH(("V A C A C"),(GP24))))</formula>
    </cfRule>
  </conditionalFormatting>
  <conditionalFormatting sqref="GP24:HQ24 HT24:IU24 IX24:KF24 KI24:LJ24 LM24:MN24 MQ24:NY24 OB24:OC24">
    <cfRule type="containsText" dxfId="4" priority="1624" operator="containsText" text="VACAC">
      <formula>NOT(ISERROR(SEARCH(("VACAC"),(GP24))))</formula>
    </cfRule>
  </conditionalFormatting>
  <conditionalFormatting sqref="GP24:HQ24 HT24:IU24 IX24:KF24 KI24:LJ24 LM24:MN24 MQ24:NY24 OB24:OC24">
    <cfRule type="containsText" dxfId="5" priority="1625" operator="containsText" text="AP">
      <formula>NOT(ISERROR(SEARCH(("AP"),(GP24))))</formula>
    </cfRule>
  </conditionalFormatting>
  <conditionalFormatting sqref="GP24:HQ24 HT24:IU24 IX24:KF24 KI24:LJ24 LM24:MN24 MQ24:NY24 OB24:OC24">
    <cfRule type="containsText" dxfId="6" priority="1626" operator="containsText" text="Ts">
      <formula>NOT(ISERROR(SEARCH(("Ts"),(GP24))))</formula>
    </cfRule>
  </conditionalFormatting>
  <conditionalFormatting sqref="GP24:HQ24 HT24:IU24 IX24:KF24 KI24:LJ24 LM24:MN24 MQ24:NY24 OB24:OC24">
    <cfRule type="containsText" dxfId="7" priority="1627" operator="containsText" text="D">
      <formula>NOT(ISERROR(SEARCH(("D"),(GP24))))</formula>
    </cfRule>
  </conditionalFormatting>
  <conditionalFormatting sqref="GP24:HQ24 HT24:IU24 IX24:KF24 KI24:LJ24 LM24:MN24 MQ24:NY24 OB24:OC24">
    <cfRule type="containsText" dxfId="8" priority="1628" operator="containsText" text="3">
      <formula>NOT(ISERROR(SEARCH(("3"),(GP24))))</formula>
    </cfRule>
  </conditionalFormatting>
  <conditionalFormatting sqref="GP24:HQ24 HT24:IU24 IX24:KF24 KI24:LJ24 LM24:MN24 MQ24:NY24 OB24:OC24">
    <cfRule type="containsText" dxfId="9" priority="1629" operator="containsText" text="2">
      <formula>NOT(ISERROR(SEARCH(("2"),(GP24))))</formula>
    </cfRule>
  </conditionalFormatting>
  <conditionalFormatting sqref="GP24:HQ24 HT24:IU24 IX24:KF24 KI24:LJ24 LM24:MN24 MQ24:NY24 OB24:OC24">
    <cfRule type="containsText" dxfId="10" priority="1630" operator="containsText" text="1">
      <formula>NOT(ISERROR(SEARCH(("1"),(GP24))))</formula>
    </cfRule>
  </conditionalFormatting>
  <conditionalFormatting sqref="GP26:HQ26 HT26:IU26 IX26:KF26 KI26:LJ26 LM26:MN26 MQ26:NY26 OB26:OC26">
    <cfRule type="containsText" dxfId="4" priority="1631" operator="containsText" text="V A C A C">
      <formula>NOT(ISERROR(SEARCH(("V A C A C"),(GP26))))</formula>
    </cfRule>
  </conditionalFormatting>
  <conditionalFormatting sqref="GP26:HQ26 HT26:IU26 IX26:KF26 KI26:LJ26 LM26:MN26 MQ26:NY26 OB26:OC26">
    <cfRule type="containsText" dxfId="4" priority="1632" operator="containsText" text="VACAC">
      <formula>NOT(ISERROR(SEARCH(("VACAC"),(GP26))))</formula>
    </cfRule>
  </conditionalFormatting>
  <conditionalFormatting sqref="GP26:HQ26 HT26:IU26 IX26:KF26 KI26:LJ26 LM26:MN26 MQ26:NY26 OB26:OC26">
    <cfRule type="containsText" dxfId="5" priority="1633" operator="containsText" text="AP">
      <formula>NOT(ISERROR(SEARCH(("AP"),(GP26))))</formula>
    </cfRule>
  </conditionalFormatting>
  <conditionalFormatting sqref="GP26:HQ26 HT26:IU26 IX26:KF26 KI26:LJ26 LM26:MN26 MQ26:NY26 OB26:OC26">
    <cfRule type="containsText" dxfId="6" priority="1634" operator="containsText" text="Ts">
      <formula>NOT(ISERROR(SEARCH(("Ts"),(GP26))))</formula>
    </cfRule>
  </conditionalFormatting>
  <conditionalFormatting sqref="GP26:HQ26 HT26:IU26 IX26:KF26 KI26:LJ26 LM26:MN26 MQ26:NY26 OB26:OC26">
    <cfRule type="containsText" dxfId="7" priority="1635" operator="containsText" text="D">
      <formula>NOT(ISERROR(SEARCH(("D"),(GP26))))</formula>
    </cfRule>
  </conditionalFormatting>
  <conditionalFormatting sqref="GP26:HQ26 HT26:IU26 IX26:KF26 KI26:LJ26 LM26:MN26 MQ26:NY26 OB26:OC26">
    <cfRule type="containsText" dxfId="8" priority="1636" operator="containsText" text="3">
      <formula>NOT(ISERROR(SEARCH(("3"),(GP26))))</formula>
    </cfRule>
  </conditionalFormatting>
  <conditionalFormatting sqref="GP26:HQ26 HT26:IU26 IX26:KF26 KI26:LJ26 LM26:MN26 MQ26:NY26 OB26:OC26">
    <cfRule type="containsText" dxfId="9" priority="1637" operator="containsText" text="2">
      <formula>NOT(ISERROR(SEARCH(("2"),(GP26))))</formula>
    </cfRule>
  </conditionalFormatting>
  <conditionalFormatting sqref="GP26:HQ26 HT26:IU26 IX26:KF26 KI26:LJ26 LM26:MN26 MQ26:NY26 OB26:OC26">
    <cfRule type="containsText" dxfId="10" priority="1638" operator="containsText" text="1">
      <formula>NOT(ISERROR(SEARCH(("1"),(GP26))))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5" priority="1639" operator="containsText" text="AP">
      <formula>NOT(ISERROR(SEARCH(("AP"),(D38))))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6" priority="1640" operator="containsText" text="Ts">
      <formula>NOT(ISERROR(SEARCH(("Ts"),(D38))))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7" priority="1641" operator="containsText" text="D">
      <formula>NOT(ISERROR(SEARCH(("D"),(D38))))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8" priority="1642" operator="containsText" text="3">
      <formula>NOT(ISERROR(SEARCH(("3"),(D38))))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9" priority="1643" operator="containsText" text="2">
      <formula>NOT(ISERROR(SEARCH(("2"),(D38))))</formula>
    </cfRule>
  </conditionalFormatting>
  <conditionalFormatting sqref="D38:BI1000 BL38:CT1000 CW38:DX1000 EA38:FB1000 FE38:GM1000 GP28:HQ28 GP30:HQ30 GP34:HQ34 GP38:HQ1000 HT28:IU28 HT30:IU30 HT34:IU34 HT38:IU1000 IX28:KF28 IX30:KF30 IX34:KF34 IX38:KF1000 KI28:LJ28 KI30:LJ30 KI34:LJ34 KI38:LJ1000 LM28:MN28 LM30:MN30 LM34:MN34 LM38:MN1000 MQ28:NY28 MQ30:NY30 MQ34:NY34 MQ38:NY1000 OB28:OC28 OB30:OC30 OB34:OC34 OB38:OC1000">
    <cfRule type="containsText" dxfId="10" priority="1644" operator="containsText" text="1">
      <formula>NOT(ISERROR(SEARCH(("1"),(D38))))</formula>
    </cfRule>
  </conditionalFormatting>
  <conditionalFormatting sqref="GP32:HQ32 HT32:IU32 IX32:KF32 KI32:LJ32 LM32:MN32 MQ32:NY32 OB32:OC32">
    <cfRule type="containsText" dxfId="4" priority="1645" operator="containsText" text="V A C A C">
      <formula>NOT(ISERROR(SEARCH(("V A C A C"),(GP32))))</formula>
    </cfRule>
  </conditionalFormatting>
  <conditionalFormatting sqref="GP32:HQ32 HT32:IU32 IX32:KF32 KI32:LJ32 LM32:MN32 MQ32:NY32 OB32:OC32">
    <cfRule type="containsText" dxfId="4" priority="1646" operator="containsText" text="VACAC">
      <formula>NOT(ISERROR(SEARCH(("VACAC"),(GP32))))</formula>
    </cfRule>
  </conditionalFormatting>
  <conditionalFormatting sqref="GP32:HQ32 HT32:IU32 IX32:KF32 KI32:LJ32 LM32:MN32 MQ32:NY32 OB32:OC32">
    <cfRule type="containsText" dxfId="5" priority="1647" operator="containsText" text="AP">
      <formula>NOT(ISERROR(SEARCH(("AP"),(GP32))))</formula>
    </cfRule>
  </conditionalFormatting>
  <conditionalFormatting sqref="GP32:HQ32 HT32:IU32 IX32:KF32 KI32:LJ32 LM32:MN32 MQ32:NY32 OB32:OC32">
    <cfRule type="containsText" dxfId="6" priority="1648" operator="containsText" text="Ts">
      <formula>NOT(ISERROR(SEARCH(("Ts"),(GP32))))</formula>
    </cfRule>
  </conditionalFormatting>
  <conditionalFormatting sqref="GP32:HQ32 HT32:IU32 IX32:KF32 KI32:LJ32 LM32:MN32 MQ32:NY32 OB32:OC32">
    <cfRule type="containsText" dxfId="7" priority="1649" operator="containsText" text="D">
      <formula>NOT(ISERROR(SEARCH(("D"),(GP32))))</formula>
    </cfRule>
  </conditionalFormatting>
  <conditionalFormatting sqref="GP32:HQ32 HT32:IU32 IX32:KF32 KI32:LJ32 LM32:MN32 MQ32:NY32 OB32:OC32">
    <cfRule type="containsText" dxfId="8" priority="1650" operator="containsText" text="3">
      <formula>NOT(ISERROR(SEARCH(("3"),(GP32))))</formula>
    </cfRule>
  </conditionalFormatting>
  <conditionalFormatting sqref="GP32:HQ32 HT32:IU32 IX32:KF32 KI32:LJ32 LM32:MN32 MQ32:NY32 OB32:OC32">
    <cfRule type="containsText" dxfId="9" priority="1651" operator="containsText" text="2">
      <formula>NOT(ISERROR(SEARCH(("2"),(GP32))))</formula>
    </cfRule>
  </conditionalFormatting>
  <conditionalFormatting sqref="GP32:HQ32 HT32:IU32 IX32:KF32 KI32:LJ32 LM32:MN32 MQ32:NY32 OB32:OC32">
    <cfRule type="containsText" dxfId="10" priority="1652" operator="containsText" text="1">
      <formula>NOT(ISERROR(SEARCH(("1"),(GP32))))</formula>
    </cfRule>
  </conditionalFormatting>
  <conditionalFormatting sqref="GT20">
    <cfRule type="containsText" dxfId="6" priority="1653" operator="containsText" text="Ts">
      <formula>NOT(ISERROR(SEARCH(("Ts"),(GT20))))</formula>
    </cfRule>
  </conditionalFormatting>
  <conditionalFormatting sqref="GT20">
    <cfRule type="containsText" dxfId="7" priority="1654" operator="containsText" text="D">
      <formula>NOT(ISERROR(SEARCH(("D"),(GT20))))</formula>
    </cfRule>
  </conditionalFormatting>
  <conditionalFormatting sqref="GT20">
    <cfRule type="containsText" dxfId="8" priority="1655" operator="containsText" text="3">
      <formula>NOT(ISERROR(SEARCH(("3"),(GT20))))</formula>
    </cfRule>
  </conditionalFormatting>
  <conditionalFormatting sqref="GT20">
    <cfRule type="containsText" dxfId="9" priority="1656" operator="containsText" text="2">
      <formula>NOT(ISERROR(SEARCH(("2"),(GT20))))</formula>
    </cfRule>
  </conditionalFormatting>
  <conditionalFormatting sqref="GT20">
    <cfRule type="containsText" dxfId="10" priority="1657" operator="containsText" text="1">
      <formula>NOT(ISERROR(SEARCH(("1"),(GT20))))</formula>
    </cfRule>
  </conditionalFormatting>
  <conditionalFormatting sqref="HR4:HS4 OD4:OE4">
    <cfRule type="containsText" dxfId="7" priority="1658" operator="containsText" text="D">
      <formula>NOT(ISERROR(SEARCH(("D"),(HR4))))</formula>
    </cfRule>
  </conditionalFormatting>
  <conditionalFormatting sqref="HR4:HS4 OD4:OE4">
    <cfRule type="containsText" dxfId="10" priority="1659" operator="containsText" text="L">
      <formula>NOT(ISERROR(SEARCH(("L"),(HR4))))</formula>
    </cfRule>
  </conditionalFormatting>
  <conditionalFormatting sqref="HW7">
    <cfRule type="containsText" dxfId="4" priority="1660" operator="containsText" text="V A C A C">
      <formula>NOT(ISERROR(SEARCH(("V A C A C"),(HW7))))</formula>
    </cfRule>
  </conditionalFormatting>
  <conditionalFormatting sqref="HW7">
    <cfRule type="containsText" dxfId="4" priority="1661" operator="containsText" text="VACAC">
      <formula>NOT(ISERROR(SEARCH(("VACAC"),(HW7))))</formula>
    </cfRule>
  </conditionalFormatting>
  <conditionalFormatting sqref="HW7">
    <cfRule type="containsText" dxfId="6" priority="1662" operator="containsText" text="Ts">
      <formula>NOT(ISERROR(SEARCH(("Ts"),(HW7))))</formula>
    </cfRule>
  </conditionalFormatting>
  <conditionalFormatting sqref="HW7">
    <cfRule type="containsText" dxfId="7" priority="1663" operator="containsText" text="D">
      <formula>NOT(ISERROR(SEARCH(("D"),(HW7))))</formula>
    </cfRule>
  </conditionalFormatting>
  <conditionalFormatting sqref="HW7">
    <cfRule type="containsText" dxfId="8" priority="1664" operator="containsText" text="3">
      <formula>NOT(ISERROR(SEARCH(("3"),(HW7))))</formula>
    </cfRule>
  </conditionalFormatting>
  <conditionalFormatting sqref="HW7">
    <cfRule type="containsText" dxfId="9" priority="1665" operator="containsText" text="2">
      <formula>NOT(ISERROR(SEARCH(("2"),(HW7))))</formula>
    </cfRule>
  </conditionalFormatting>
  <conditionalFormatting sqref="HW7">
    <cfRule type="containsText" dxfId="10" priority="1666" operator="containsText" text="1">
      <formula>NOT(ISERROR(SEARCH(("1"),(HW7))))</formula>
    </cfRule>
  </conditionalFormatting>
  <conditionalFormatting sqref="IV4:IW4">
    <cfRule type="containsText" dxfId="7" priority="1667" operator="containsText" text="D">
      <formula>NOT(ISERROR(SEARCH(("D"),(IV4))))</formula>
    </cfRule>
  </conditionalFormatting>
  <conditionalFormatting sqref="IV4:IW4">
    <cfRule type="containsText" dxfId="10" priority="1668" operator="containsText" text="L">
      <formula>NOT(ISERROR(SEARCH(("L"),(IV4))))</formula>
    </cfRule>
  </conditionalFormatting>
  <conditionalFormatting sqref="JD7">
    <cfRule type="containsText" dxfId="4" priority="1669" operator="containsText" text="V A C A C">
      <formula>NOT(ISERROR(SEARCH(("V A C A C"),(JD7))))</formula>
    </cfRule>
  </conditionalFormatting>
  <conditionalFormatting sqref="JD7">
    <cfRule type="containsText" dxfId="4" priority="1670" operator="containsText" text="VACAC">
      <formula>NOT(ISERROR(SEARCH(("VACAC"),(JD7))))</formula>
    </cfRule>
  </conditionalFormatting>
  <conditionalFormatting sqref="JD7">
    <cfRule type="containsText" dxfId="6" priority="1671" operator="containsText" text="Ts">
      <formula>NOT(ISERROR(SEARCH(("Ts"),(JD7))))</formula>
    </cfRule>
  </conditionalFormatting>
  <conditionalFormatting sqref="JD7">
    <cfRule type="containsText" dxfId="7" priority="1672" operator="containsText" text="D">
      <formula>NOT(ISERROR(SEARCH(("D"),(JD7))))</formula>
    </cfRule>
  </conditionalFormatting>
  <conditionalFormatting sqref="JD7">
    <cfRule type="containsText" dxfId="8" priority="1673" operator="containsText" text="3">
      <formula>NOT(ISERROR(SEARCH(("3"),(JD7))))</formula>
    </cfRule>
  </conditionalFormatting>
  <conditionalFormatting sqref="JD7">
    <cfRule type="containsText" dxfId="9" priority="1674" operator="containsText" text="2">
      <formula>NOT(ISERROR(SEARCH(("2"),(JD7))))</formula>
    </cfRule>
  </conditionalFormatting>
  <conditionalFormatting sqref="JD7">
    <cfRule type="containsText" dxfId="10" priority="1675" operator="containsText" text="1">
      <formula>NOT(ISERROR(SEARCH(("1"),(JD7))))</formula>
    </cfRule>
  </conditionalFormatting>
  <conditionalFormatting sqref="KJ7">
    <cfRule type="containsText" dxfId="4" priority="1676" operator="containsText" text="V A C A C">
      <formula>NOT(ISERROR(SEARCH(("V A C A C"),(KJ7))))</formula>
    </cfRule>
  </conditionalFormatting>
  <conditionalFormatting sqref="KJ7">
    <cfRule type="containsText" dxfId="4" priority="1677" operator="containsText" text="VACAC">
      <formula>NOT(ISERROR(SEARCH(("VACAC"),(KJ7))))</formula>
    </cfRule>
  </conditionalFormatting>
  <conditionalFormatting sqref="KJ7">
    <cfRule type="containsText" dxfId="6" priority="1678" operator="containsText" text="Ts">
      <formula>NOT(ISERROR(SEARCH(("Ts"),(KJ7))))</formula>
    </cfRule>
  </conditionalFormatting>
  <conditionalFormatting sqref="KJ7">
    <cfRule type="containsText" dxfId="7" priority="1679" operator="containsText" text="D">
      <formula>NOT(ISERROR(SEARCH(("D"),(KJ7))))</formula>
    </cfRule>
  </conditionalFormatting>
  <conditionalFormatting sqref="KJ7">
    <cfRule type="containsText" dxfId="8" priority="1680" operator="containsText" text="3">
      <formula>NOT(ISERROR(SEARCH(("3"),(KJ7))))</formula>
    </cfRule>
  </conditionalFormatting>
  <conditionalFormatting sqref="KJ7">
    <cfRule type="containsText" dxfId="9" priority="1681" operator="containsText" text="2">
      <formula>NOT(ISERROR(SEARCH(("2"),(KJ7))))</formula>
    </cfRule>
  </conditionalFormatting>
  <conditionalFormatting sqref="KJ7">
    <cfRule type="containsText" dxfId="10" priority="1682" operator="containsText" text="1">
      <formula>NOT(ISERROR(SEARCH(("1"),(KJ7))))</formula>
    </cfRule>
  </conditionalFormatting>
  <conditionalFormatting sqref="LK4:LL4">
    <cfRule type="containsText" dxfId="7" priority="1683" operator="containsText" text="D">
      <formula>NOT(ISERROR(SEARCH(("D"),(LK4))))</formula>
    </cfRule>
  </conditionalFormatting>
  <conditionalFormatting sqref="LK4:LL4">
    <cfRule type="containsText" dxfId="10" priority="1684" operator="containsText" text="L">
      <formula>NOT(ISERROR(SEARCH(("L"),(LK4))))</formula>
    </cfRule>
  </conditionalFormatting>
  <conditionalFormatting sqref="MO4:MP4">
    <cfRule type="containsText" dxfId="7" priority="1685" operator="containsText" text="D">
      <formula>NOT(ISERROR(SEARCH(("D"),(MO4))))</formula>
    </cfRule>
  </conditionalFormatting>
  <conditionalFormatting sqref="MO4:MP4">
    <cfRule type="containsText" dxfId="10" priority="1686" operator="containsText" text="L">
      <formula>NOT(ISERROR(SEARCH(("L"),(MO4))))</formula>
    </cfRule>
  </conditionalFormatting>
  <conditionalFormatting sqref="MW7">
    <cfRule type="containsText" dxfId="4" priority="1687" operator="containsText" text="V A C A C">
      <formula>NOT(ISERROR(SEARCH(("V A C A C"),(MW7))))</formula>
    </cfRule>
  </conditionalFormatting>
  <conditionalFormatting sqref="MW7">
    <cfRule type="containsText" dxfId="4" priority="1688" operator="containsText" text="VACAC">
      <formula>NOT(ISERROR(SEARCH(("VACAC"),(MW7))))</formula>
    </cfRule>
  </conditionalFormatting>
  <conditionalFormatting sqref="MW7">
    <cfRule type="containsText" dxfId="6" priority="1689" operator="containsText" text="Ts">
      <formula>NOT(ISERROR(SEARCH(("Ts"),(MW7))))</formula>
    </cfRule>
  </conditionalFormatting>
  <conditionalFormatting sqref="MW7">
    <cfRule type="containsText" dxfId="7" priority="1690" operator="containsText" text="D">
      <formula>NOT(ISERROR(SEARCH(("D"),(MW7))))</formula>
    </cfRule>
  </conditionalFormatting>
  <conditionalFormatting sqref="MW7">
    <cfRule type="containsText" dxfId="8" priority="1691" operator="containsText" text="3">
      <formula>NOT(ISERROR(SEARCH(("3"),(MW7))))</formula>
    </cfRule>
  </conditionalFormatting>
  <conditionalFormatting sqref="MW7">
    <cfRule type="containsText" dxfId="9" priority="1692" operator="containsText" text="2">
      <formula>NOT(ISERROR(SEARCH(("2"),(MW7))))</formula>
    </cfRule>
  </conditionalFormatting>
  <conditionalFormatting sqref="MW7">
    <cfRule type="containsText" dxfId="10" priority="1693" operator="containsText" text="1">
      <formula>NOT(ISERROR(SEARCH(("1"),(MW7))))</formula>
    </cfRule>
  </conditionalFormatting>
  <printOptions horizontalCentered="1" vertic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60.71"/>
    <col customWidth="1" min="2" max="3" width="20.71"/>
    <col customWidth="1" hidden="1" min="4" max="8" width="4.29"/>
    <col customWidth="1" min="9" max="39" width="8.71"/>
    <col customWidth="1" min="40" max="40" width="6.43"/>
    <col customWidth="1" min="41" max="41" width="8.71"/>
    <col customWidth="1" min="42" max="42" width="8.57"/>
    <col customWidth="1" min="43" max="43" width="7.0"/>
    <col customWidth="1" min="44" max="44" width="7.43"/>
    <col customWidth="1" min="45" max="45" width="9.29"/>
    <col customWidth="1" min="46" max="47" width="20.71"/>
    <col customWidth="1" min="48" max="48" width="15.71"/>
    <col customWidth="1" min="49" max="49" width="15.0"/>
    <col customWidth="1" min="50" max="50" width="4.71"/>
    <col customWidth="1" min="51" max="51" width="4.29"/>
    <col customWidth="1" min="52" max="52" width="9.29"/>
    <col customWidth="1" min="53" max="53" width="15.86"/>
    <col customWidth="1" min="54" max="54" width="14.14"/>
    <col customWidth="1" min="55" max="55" width="11.0"/>
    <col customWidth="1" min="56" max="56" width="9.0"/>
    <col customWidth="1" min="57" max="57" width="15.29"/>
    <col customWidth="1" min="58" max="58" width="9.86"/>
    <col customWidth="1" min="59" max="59" width="11.29"/>
    <col customWidth="1" hidden="1" min="60" max="60" width="0.14"/>
  </cols>
  <sheetData>
    <row r="1" ht="129.75" customHeight="1">
      <c r="A1" s="195"/>
      <c r="B1" s="196"/>
      <c r="AG1" s="197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9"/>
    </row>
    <row r="2" ht="45.0" customHeight="1">
      <c r="A2" s="63" t="s">
        <v>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00"/>
      <c r="BF2" s="199"/>
    </row>
    <row r="3" ht="26.25" customHeight="1">
      <c r="A3" s="82" t="s">
        <v>35</v>
      </c>
      <c r="B3" s="83" t="s">
        <v>36</v>
      </c>
      <c r="C3" s="96" t="s">
        <v>37</v>
      </c>
      <c r="D3" s="201" t="s">
        <v>93</v>
      </c>
      <c r="E3" s="10"/>
      <c r="F3" s="10"/>
      <c r="G3" s="10"/>
      <c r="H3" s="13"/>
      <c r="I3" s="202" t="s">
        <v>94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3"/>
      <c r="AN3" s="203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199"/>
    </row>
    <row r="4" ht="26.25" customHeight="1">
      <c r="A4" s="73"/>
      <c r="B4" s="74"/>
      <c r="C4" s="75"/>
      <c r="D4" s="205">
        <v>27.0</v>
      </c>
      <c r="E4" s="206">
        <v>28.0</v>
      </c>
      <c r="F4" s="207">
        <v>29.0</v>
      </c>
      <c r="G4" s="207">
        <v>30.0</v>
      </c>
      <c r="H4" s="206">
        <v>31.0</v>
      </c>
      <c r="I4" s="208" t="s">
        <v>7</v>
      </c>
      <c r="J4" s="209" t="s">
        <v>8</v>
      </c>
      <c r="K4" s="209" t="s">
        <v>54</v>
      </c>
      <c r="L4" s="208" t="s">
        <v>55</v>
      </c>
      <c r="M4" s="209" t="s">
        <v>9</v>
      </c>
      <c r="N4" s="208" t="s">
        <v>10</v>
      </c>
      <c r="O4" s="209" t="s">
        <v>56</v>
      </c>
      <c r="P4" s="209" t="s">
        <v>57</v>
      </c>
      <c r="Q4" s="209" t="s">
        <v>58</v>
      </c>
      <c r="R4" s="210">
        <v>10.0</v>
      </c>
      <c r="S4" s="211">
        <v>11.0</v>
      </c>
      <c r="T4" s="210">
        <v>12.0</v>
      </c>
      <c r="U4" s="210">
        <v>13.0</v>
      </c>
      <c r="V4" s="210">
        <v>14.0</v>
      </c>
      <c r="W4" s="210">
        <v>15.0</v>
      </c>
      <c r="X4" s="210">
        <v>16.0</v>
      </c>
      <c r="Y4" s="210">
        <v>17.0</v>
      </c>
      <c r="Z4" s="211">
        <v>18.0</v>
      </c>
      <c r="AA4" s="210">
        <v>19.0</v>
      </c>
      <c r="AB4" s="210">
        <v>20.0</v>
      </c>
      <c r="AC4" s="210">
        <v>21.0</v>
      </c>
      <c r="AD4" s="210">
        <v>22.0</v>
      </c>
      <c r="AE4" s="210">
        <v>23.0</v>
      </c>
      <c r="AF4" s="210">
        <v>24.0</v>
      </c>
      <c r="AG4" s="211">
        <v>25.0</v>
      </c>
      <c r="AH4" s="210">
        <v>26.0</v>
      </c>
      <c r="AI4" s="210">
        <v>27.0</v>
      </c>
      <c r="AJ4" s="210">
        <v>28.0</v>
      </c>
      <c r="AK4" s="210">
        <v>29.0</v>
      </c>
      <c r="AL4" s="210">
        <v>30.0</v>
      </c>
      <c r="AM4" s="210">
        <v>31.0</v>
      </c>
      <c r="AN4" s="212"/>
      <c r="AO4" s="213" t="s">
        <v>95</v>
      </c>
      <c r="AP4" s="214" t="s">
        <v>96</v>
      </c>
      <c r="AQ4" s="215" t="s">
        <v>97</v>
      </c>
      <c r="AR4" s="216" t="s">
        <v>98</v>
      </c>
      <c r="AS4" s="217" t="s">
        <v>99</v>
      </c>
      <c r="AT4" s="218" t="s">
        <v>100</v>
      </c>
      <c r="AU4" s="218" t="s">
        <v>101</v>
      </c>
      <c r="AV4" s="213" t="s">
        <v>102</v>
      </c>
      <c r="AW4" s="219" t="s">
        <v>15</v>
      </c>
      <c r="AX4" s="220" t="s">
        <v>68</v>
      </c>
      <c r="AY4" s="213" t="s">
        <v>21</v>
      </c>
      <c r="AZ4" s="219" t="s">
        <v>103</v>
      </c>
      <c r="BA4" s="218" t="s">
        <v>104</v>
      </c>
      <c r="BB4" s="218" t="s">
        <v>105</v>
      </c>
      <c r="BC4" s="213" t="s">
        <v>106</v>
      </c>
      <c r="BD4" s="213" t="s">
        <v>107</v>
      </c>
      <c r="BE4" s="217" t="s">
        <v>108</v>
      </c>
      <c r="BF4" s="219" t="s">
        <v>109</v>
      </c>
      <c r="BG4" s="213" t="s">
        <v>110</v>
      </c>
      <c r="BH4" s="213" t="s">
        <v>111</v>
      </c>
    </row>
    <row r="5" ht="26.25" customHeight="1">
      <c r="A5" s="221" t="s">
        <v>60</v>
      </c>
      <c r="B5" s="222" t="s">
        <v>61</v>
      </c>
      <c r="C5" s="223" t="s">
        <v>11</v>
      </c>
      <c r="D5" s="224" t="s">
        <v>15</v>
      </c>
      <c r="E5" s="10"/>
      <c r="F5" s="10"/>
      <c r="G5" s="10"/>
      <c r="H5" s="13"/>
      <c r="I5" s="225" t="s">
        <v>64</v>
      </c>
      <c r="J5" s="10"/>
      <c r="K5" s="10"/>
      <c r="L5" s="10"/>
      <c r="M5" s="10"/>
      <c r="N5" s="11"/>
      <c r="O5" s="226" t="s">
        <v>13</v>
      </c>
      <c r="P5" s="226" t="s">
        <v>13</v>
      </c>
      <c r="Q5" s="226" t="s">
        <v>13</v>
      </c>
      <c r="R5" s="226" t="s">
        <v>12</v>
      </c>
      <c r="S5" s="226" t="s">
        <v>12</v>
      </c>
      <c r="T5" s="226" t="s">
        <v>13</v>
      </c>
      <c r="U5" s="226" t="s">
        <v>13</v>
      </c>
      <c r="V5" s="226" t="s">
        <v>13</v>
      </c>
      <c r="W5" s="226" t="s">
        <v>13</v>
      </c>
      <c r="X5" s="226" t="s">
        <v>13</v>
      </c>
      <c r="Y5" s="226" t="s">
        <v>12</v>
      </c>
      <c r="Z5" s="226" t="s">
        <v>12</v>
      </c>
      <c r="AA5" s="226" t="s">
        <v>13</v>
      </c>
      <c r="AB5" s="226" t="s">
        <v>13</v>
      </c>
      <c r="AC5" s="226" t="s">
        <v>13</v>
      </c>
      <c r="AD5" s="226" t="s">
        <v>13</v>
      </c>
      <c r="AE5" s="226" t="s">
        <v>13</v>
      </c>
      <c r="AF5" s="226" t="s">
        <v>12</v>
      </c>
      <c r="AG5" s="226" t="s">
        <v>12</v>
      </c>
      <c r="AH5" s="226" t="s">
        <v>13</v>
      </c>
      <c r="AI5" s="226" t="s">
        <v>13</v>
      </c>
      <c r="AJ5" s="226" t="s">
        <v>13</v>
      </c>
      <c r="AK5" s="226" t="s">
        <v>13</v>
      </c>
      <c r="AL5" s="226" t="s">
        <v>13</v>
      </c>
      <c r="AM5" s="227" t="s">
        <v>12</v>
      </c>
      <c r="AN5" s="228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</row>
    <row r="6" ht="26.25" customHeight="1">
      <c r="A6" s="73"/>
      <c r="B6" s="74"/>
      <c r="C6" s="114"/>
      <c r="D6" s="230"/>
      <c r="E6" s="231"/>
      <c r="F6" s="232"/>
      <c r="G6" s="232"/>
      <c r="H6" s="233"/>
      <c r="I6" s="234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6"/>
      <c r="W6" s="236"/>
      <c r="X6" s="236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7"/>
      <c r="AN6" s="204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199"/>
    </row>
    <row r="7" ht="26.25" customHeight="1">
      <c r="A7" s="238" t="s">
        <v>69</v>
      </c>
      <c r="B7" s="239" t="s">
        <v>67</v>
      </c>
      <c r="C7" s="240" t="s">
        <v>19</v>
      </c>
      <c r="D7" s="241" t="s">
        <v>12</v>
      </c>
      <c r="E7" s="242" t="s">
        <v>12</v>
      </c>
      <c r="F7" s="243" t="s">
        <v>13</v>
      </c>
      <c r="G7" s="242" t="s">
        <v>13</v>
      </c>
      <c r="H7" s="244" t="s">
        <v>12</v>
      </c>
      <c r="I7" s="245" t="s">
        <v>12</v>
      </c>
      <c r="J7" s="226" t="s">
        <v>13</v>
      </c>
      <c r="K7" s="226" t="s">
        <v>12</v>
      </c>
      <c r="L7" s="226" t="s">
        <v>12</v>
      </c>
      <c r="M7" s="226" t="s">
        <v>12</v>
      </c>
      <c r="N7" s="226" t="s">
        <v>12</v>
      </c>
      <c r="O7" s="226" t="s">
        <v>12</v>
      </c>
      <c r="P7" s="226" t="s">
        <v>68</v>
      </c>
      <c r="Q7" s="226" t="s">
        <v>12</v>
      </c>
      <c r="R7" s="226" t="s">
        <v>12</v>
      </c>
      <c r="S7" s="226" t="s">
        <v>12</v>
      </c>
      <c r="T7" s="226" t="s">
        <v>12</v>
      </c>
      <c r="U7" s="226">
        <v>1.0</v>
      </c>
      <c r="V7" s="226" t="s">
        <v>12</v>
      </c>
      <c r="W7" s="226" t="s">
        <v>12</v>
      </c>
      <c r="X7" s="226">
        <v>3.0</v>
      </c>
      <c r="Y7" s="226">
        <v>3.0</v>
      </c>
      <c r="Z7" s="226">
        <v>3.0</v>
      </c>
      <c r="AA7" s="226">
        <v>3.0</v>
      </c>
      <c r="AB7" s="226">
        <v>3.0</v>
      </c>
      <c r="AC7" s="226" t="s">
        <v>12</v>
      </c>
      <c r="AD7" s="226" t="s">
        <v>12</v>
      </c>
      <c r="AE7" s="226" t="s">
        <v>68</v>
      </c>
      <c r="AF7" s="226">
        <v>2.0</v>
      </c>
      <c r="AG7" s="226">
        <v>2.0</v>
      </c>
      <c r="AH7" s="226">
        <v>2.0</v>
      </c>
      <c r="AI7" s="226">
        <v>2.0</v>
      </c>
      <c r="AJ7" s="226" t="s">
        <v>12</v>
      </c>
      <c r="AK7" s="226" t="s">
        <v>68</v>
      </c>
      <c r="AL7" s="226">
        <v>1.0</v>
      </c>
      <c r="AM7" s="227">
        <v>1.0</v>
      </c>
      <c r="AN7" s="228"/>
      <c r="AO7" s="229">
        <f>AP7+AQ7+AR7+AX7+AY7+BA7+BB7+BC7+BD7+BE7+BF7+1</f>
        <v>17</v>
      </c>
      <c r="AP7" s="229">
        <f>COUNTIF(I7:AM7,"1")</f>
        <v>3</v>
      </c>
      <c r="AQ7" s="229">
        <f>COUNTIF(I7:AM7,"2")</f>
        <v>4</v>
      </c>
      <c r="AR7" s="229">
        <f>COUNTIF(I7:AM7,"3")</f>
        <v>5</v>
      </c>
      <c r="AS7" s="229">
        <f>COUNTIF(I7:AM7,"D")</f>
        <v>15</v>
      </c>
      <c r="AT7" s="229">
        <f>IF(K7=1,0.5,0)+IF(K7=2,0.5,0)+IF(K7=3,0.5,0)+IF(L7=1,0.5,0)+IF(L7=2,0.5,0)+IF(L7=3,0.5,0)+IF(R7=1,0.5,0)+IF(R7=2,0.5,0)+IF(R7=3,0.5,0)+IF(S7=1,0.5,0)+IF(S7=2,0.5,0)+IF(S7=3,0.5,0)+IF(Y7=1,0.5,0)+IF(Y7=2,0.5,0)+IF(Y7=3,0.5,0)+IF(Z7=1,0.5,0)+IF(Z7=2,0.5,0)+IF(Z7=3,0.5,0)+IF(AF7=1,0.5,0)+IF(AF7=2,0.5,0)+IF(AF7=3,0.5,0)+IF(AG7=1,0.5,0)+IF(AG7=2,0.5,0)+IF(AG7=3,0.5,0)</f>
        <v>2</v>
      </c>
      <c r="AU7" s="229">
        <f>IF(I7=1,1,0)+IF(I7=2,1,0)+IF(I7=3,1,0)+IF(N7=1,1,0)+IF(N7=2,1,0)+IF(N7=3,1,0)</f>
        <v>0</v>
      </c>
      <c r="AV7" s="246">
        <f>(AP7*8)+(AQ7*8)+(AR7*9.5*1.25)+(AX7*7.5)+(AY7*7.5)+(BA7*8)+(BB7*7.5)+(BC7*7.5)+(BD7*7.5)+(BF7*7.5)</f>
        <v>145.375</v>
      </c>
      <c r="AW7" s="229">
        <f>COUNTIF(I7:AM8,"Vacac")+COUNTIF(I7:AM8,"V a c a c")</f>
        <v>0</v>
      </c>
      <c r="AX7" s="229">
        <f>COUNTIF(I7:AM8,"AP")</f>
        <v>3</v>
      </c>
      <c r="AY7" s="229">
        <f>COUNTIF(I7:AM7,"Ts")</f>
        <v>0</v>
      </c>
      <c r="AZ7" s="229">
        <f>COUNTIF(I7:AM8,"Baja")+COUNTIF(I7:AM8,"B a j a")</f>
        <v>0</v>
      </c>
      <c r="BA7" s="229">
        <f>COUNTIF(I7:AM8,"JuB")/2</f>
        <v>0</v>
      </c>
      <c r="BB7" s="229">
        <f>COUNTIF(I7:AM8,"JuC")</f>
        <v>1</v>
      </c>
      <c r="BC7" s="229">
        <f>COUNTIF(I7:AM8,"Perm")</f>
        <v>0</v>
      </c>
      <c r="BD7" s="229">
        <f>COUNTIF(I7:AM8,"Curso")</f>
        <v>0</v>
      </c>
      <c r="BE7" s="229">
        <f>COUNTIF(I7:AM8,"*Dc*")</f>
        <v>0</v>
      </c>
      <c r="BF7" s="229">
        <f>COUNTIF(I7:AM8,"Indisp")</f>
        <v>0</v>
      </c>
      <c r="BG7" s="229">
        <f>COUNTIF($I$51:$AM$53,C7)</f>
        <v>12</v>
      </c>
      <c r="BH7" s="229">
        <f>IF(L7=1,1,0)+IF(L7=2,1,0)+IF(L7=3,1,0)+IF(S7=1,1,0)+IF(S7=2,1,0)+IF(S7=3,1,0)+IF(Z7=1,1,0)+IF(Z7=2,1,0)+IF(Z7=3,1,0)+IF(AG7=1,1,0)+IF(AG7=2,1,0)+IF(AG7=3,1,0)</f>
        <v>2</v>
      </c>
    </row>
    <row r="8" ht="26.25" customHeight="1">
      <c r="A8" s="73"/>
      <c r="B8" s="74"/>
      <c r="C8" s="114"/>
      <c r="D8" s="247" t="s">
        <v>18</v>
      </c>
      <c r="E8" s="145"/>
      <c r="F8" s="145"/>
      <c r="G8" s="145"/>
      <c r="H8" s="248"/>
      <c r="I8" s="249" t="s">
        <v>112</v>
      </c>
      <c r="J8" s="145"/>
      <c r="K8" s="145"/>
      <c r="L8" s="145"/>
      <c r="M8" s="145"/>
      <c r="N8" s="250"/>
      <c r="O8" s="235"/>
      <c r="P8" s="235"/>
      <c r="Q8" s="235"/>
      <c r="R8" s="235"/>
      <c r="S8" s="235"/>
      <c r="T8" s="235"/>
      <c r="U8" s="235"/>
      <c r="V8" s="236"/>
      <c r="W8" s="236"/>
      <c r="X8" s="236"/>
      <c r="Y8" s="235"/>
      <c r="Z8" s="235"/>
      <c r="AA8" s="235"/>
      <c r="AB8" s="251" t="s">
        <v>65</v>
      </c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7"/>
      <c r="AN8" s="204"/>
      <c r="AO8" s="229"/>
      <c r="AP8" s="229"/>
      <c r="AQ8" s="229"/>
      <c r="AR8" s="229"/>
      <c r="AS8" s="229"/>
      <c r="AT8" s="229"/>
      <c r="AU8" s="229"/>
      <c r="AV8" s="246"/>
      <c r="AW8" s="229"/>
      <c r="AX8" s="229"/>
      <c r="AY8" s="229"/>
      <c r="AZ8" s="229"/>
      <c r="BA8" s="229"/>
      <c r="BB8" s="229"/>
      <c r="BC8" s="229"/>
      <c r="BD8" s="229"/>
      <c r="BE8" s="229"/>
      <c r="BF8" s="229"/>
    </row>
    <row r="9" ht="26.25" customHeight="1">
      <c r="A9" s="221" t="s">
        <v>70</v>
      </c>
      <c r="B9" s="222" t="s">
        <v>67</v>
      </c>
      <c r="C9" s="223" t="s">
        <v>20</v>
      </c>
      <c r="D9" s="241">
        <v>1.0</v>
      </c>
      <c r="E9" s="242">
        <v>1.0</v>
      </c>
      <c r="F9" s="243">
        <v>1.0</v>
      </c>
      <c r="G9" s="242" t="s">
        <v>12</v>
      </c>
      <c r="H9" s="244" t="s">
        <v>12</v>
      </c>
      <c r="I9" s="245" t="s">
        <v>12</v>
      </c>
      <c r="J9" s="226" t="s">
        <v>12</v>
      </c>
      <c r="K9" s="226" t="s">
        <v>12</v>
      </c>
      <c r="L9" s="226" t="s">
        <v>12</v>
      </c>
      <c r="M9" s="226">
        <v>2.0</v>
      </c>
      <c r="N9" s="226">
        <v>2.0</v>
      </c>
      <c r="O9" s="226" t="s">
        <v>12</v>
      </c>
      <c r="P9" s="226">
        <v>1.0</v>
      </c>
      <c r="Q9" s="226">
        <v>1.0</v>
      </c>
      <c r="R9" s="226">
        <v>1.0</v>
      </c>
      <c r="S9" s="226">
        <v>1.0</v>
      </c>
      <c r="T9" s="252">
        <v>3.0</v>
      </c>
      <c r="U9" s="252" t="s">
        <v>12</v>
      </c>
      <c r="V9" s="226">
        <v>3.0</v>
      </c>
      <c r="W9" s="226" t="s">
        <v>12</v>
      </c>
      <c r="X9" s="226" t="s">
        <v>21</v>
      </c>
      <c r="Y9" s="226" t="s">
        <v>12</v>
      </c>
      <c r="Z9" s="226" t="s">
        <v>12</v>
      </c>
      <c r="AA9" s="226">
        <v>2.0</v>
      </c>
      <c r="AB9" s="226" t="s">
        <v>12</v>
      </c>
      <c r="AC9" s="226" t="s">
        <v>113</v>
      </c>
      <c r="AD9" s="226">
        <v>3.0</v>
      </c>
      <c r="AE9" s="226">
        <v>3.0</v>
      </c>
      <c r="AF9" s="226">
        <v>3.0</v>
      </c>
      <c r="AG9" s="226" t="s">
        <v>12</v>
      </c>
      <c r="AH9" s="226" t="s">
        <v>12</v>
      </c>
      <c r="AI9" s="226" t="s">
        <v>21</v>
      </c>
      <c r="AJ9" s="226" t="s">
        <v>12</v>
      </c>
      <c r="AK9" s="226" t="s">
        <v>114</v>
      </c>
      <c r="AL9" s="226" t="s">
        <v>12</v>
      </c>
      <c r="AM9" s="227" t="s">
        <v>12</v>
      </c>
      <c r="AN9" s="228"/>
      <c r="AO9" s="229">
        <f>AP9+AQ9+AR9+AX9+AY9+BA9+BB9+BC9+BD9+BE9+BF9</f>
        <v>16</v>
      </c>
      <c r="AP9" s="229">
        <f>COUNTIF(I9:AM9,"1")</f>
        <v>4</v>
      </c>
      <c r="AQ9" s="229">
        <f>COUNTIF(I9:AM9,"2")</f>
        <v>3</v>
      </c>
      <c r="AR9" s="229">
        <f>COUNTIF(I9:AM9,"3")</f>
        <v>5</v>
      </c>
      <c r="AS9" s="229">
        <f>COUNTIF(I9:AM9,"D")</f>
        <v>15</v>
      </c>
      <c r="AT9" s="229">
        <f>IF(K9=1,0.5,0)+IF(K9=2,0.5,0)+IF(K9=3,0.5,0)+IF(L9=1,0.5,0)+IF(L9=2,0.5,0)+IF(L9=3,0.5,0)+IF(R9=1,0.5,0)+IF(R9=2,0.5,0)+IF(R9=3,0.5,0)+IF(S9=1,0.5,0)+IF(S9=2,0.5,0)+IF(S9=3,0.5,0)+IF(Y9=1,0.5,0)+IF(Y9=2,0.5,0)+IF(Y9=3,0.5,0)+IF(Z9=1,0.5,0)+IF(Z9=2,0.5,0)+IF(Z9=3,0.5,0)+IF(AF9=1,0.5,0)+IF(AF9=2,0.5,0)+IF(AF9=3,0.5,0)+IF(AG9=1,0.5,0)+IF(AG9=2,0.5,0)+IF(AG9=3,0.5,0)+0.5</f>
        <v>2</v>
      </c>
      <c r="AU9" s="229">
        <f>IF(I9=1,1,0)+IF(I9=2,1,0)+IF(I9=3,1,0)+IF(N9=1,1,0)+IF(N9=2,1,0)+IF(N9=3,1,0)</f>
        <v>1</v>
      </c>
      <c r="AV9" s="246">
        <f>(AP9*8)+(AQ9*8)+(AR9*9.5*1.25)+(AX9*7.5)+(AY9*7.5)+(BA9*8)+(BB9*7.5)+(BC9*7.5)+(BD9*7.5)+(BF9*7.5)</f>
        <v>130.375</v>
      </c>
      <c r="AW9" s="229">
        <f>COUNTIF(I9:AM10,"Vacac")+COUNTIF(I9:AM10,"V a c a c")</f>
        <v>0</v>
      </c>
      <c r="AX9" s="229">
        <f>COUNTIF(I9:AM10,"AP")</f>
        <v>0</v>
      </c>
      <c r="AY9" s="229">
        <f>COUNTIF(I9:AM9,"Ts")</f>
        <v>2</v>
      </c>
      <c r="AZ9" s="229">
        <f>COUNTIF(I9:AM10,"Baja")+COUNTIF(I9:AM10,"B a j a")</f>
        <v>0</v>
      </c>
      <c r="BA9" s="229">
        <f>COUNTIF(I9:AM10,"JuB")/2</f>
        <v>0</v>
      </c>
      <c r="BB9" s="229">
        <f>COUNTIF(I9:AM10,"JuC")</f>
        <v>0</v>
      </c>
      <c r="BC9" s="229">
        <f>COUNTIF(I9:AM10,"Perm")</f>
        <v>0</v>
      </c>
      <c r="BD9" s="229">
        <f>COUNTIF(I9:AM10,"Curso")</f>
        <v>0</v>
      </c>
      <c r="BE9" s="229">
        <f>COUNTIF(I9:AM10,"*Dc*")</f>
        <v>2</v>
      </c>
      <c r="BF9" s="229">
        <f>COUNTIF(I9:AM10,"Indisp")</f>
        <v>0</v>
      </c>
      <c r="BG9" s="229">
        <f>COUNTIF($I$51:$AM$53,C9)</f>
        <v>13</v>
      </c>
      <c r="BH9" s="229">
        <f>IF(L9=1,1,0)+IF(L9=2,1,0)+IF(L9=3,1,0)+IF(S9=1,1,0)+IF(S9=2,1,0)+IF(S9=3,1,0)+IF(Z9=1,1,0)+IF(Z9=2,1,0)+IF(Z9=3,1,0)+IF(AG9=1,1,0)+IF(AG9=2,1,0)+IF(AG9=3,1,0)</f>
        <v>1</v>
      </c>
    </row>
    <row r="10" ht="26.25" customHeight="1">
      <c r="A10" s="73"/>
      <c r="B10" s="74"/>
      <c r="C10" s="114"/>
      <c r="D10" s="230"/>
      <c r="E10" s="231"/>
      <c r="F10" s="232"/>
      <c r="G10" s="232"/>
      <c r="H10" s="233"/>
      <c r="I10" s="234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51" t="s">
        <v>12</v>
      </c>
      <c r="U10" s="251">
        <v>3.0</v>
      </c>
      <c r="V10" s="236"/>
      <c r="W10" s="236"/>
      <c r="X10" s="236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7"/>
      <c r="AN10" s="204"/>
      <c r="AO10" s="229"/>
      <c r="AP10" s="229"/>
      <c r="AQ10" s="229"/>
      <c r="AR10" s="229"/>
      <c r="AS10" s="229"/>
      <c r="AT10" s="229"/>
      <c r="AU10" s="229"/>
      <c r="AV10" s="246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</row>
    <row r="11" ht="26.25" customHeight="1">
      <c r="A11" s="238" t="s">
        <v>73</v>
      </c>
      <c r="B11" s="239" t="s">
        <v>72</v>
      </c>
      <c r="C11" s="240" t="s">
        <v>23</v>
      </c>
      <c r="D11" s="241">
        <v>2.0</v>
      </c>
      <c r="E11" s="242">
        <v>2.0</v>
      </c>
      <c r="F11" s="243" t="s">
        <v>12</v>
      </c>
      <c r="G11" s="242">
        <v>1.0</v>
      </c>
      <c r="H11" s="244">
        <v>2.0</v>
      </c>
      <c r="I11" s="245">
        <v>1.0</v>
      </c>
      <c r="J11" s="226">
        <v>1.0</v>
      </c>
      <c r="K11" s="226" t="s">
        <v>12</v>
      </c>
      <c r="L11" s="226" t="s">
        <v>12</v>
      </c>
      <c r="M11" s="226" t="s">
        <v>12</v>
      </c>
      <c r="N11" s="226" t="s">
        <v>12</v>
      </c>
      <c r="O11" s="226" t="s">
        <v>12</v>
      </c>
      <c r="P11" s="226">
        <v>1.0</v>
      </c>
      <c r="Q11" s="226">
        <v>1.0</v>
      </c>
      <c r="R11" s="226">
        <v>3.0</v>
      </c>
      <c r="S11" s="226">
        <v>3.0</v>
      </c>
      <c r="T11" s="226" t="s">
        <v>12</v>
      </c>
      <c r="U11" s="226" t="s">
        <v>12</v>
      </c>
      <c r="V11" s="226">
        <v>2.0</v>
      </c>
      <c r="W11" s="226">
        <v>2.0</v>
      </c>
      <c r="X11" s="226" t="s">
        <v>12</v>
      </c>
      <c r="Y11" s="226" t="s">
        <v>12</v>
      </c>
      <c r="Z11" s="226" t="s">
        <v>12</v>
      </c>
      <c r="AA11" s="226" t="s">
        <v>12</v>
      </c>
      <c r="AB11" s="226" t="s">
        <v>12</v>
      </c>
      <c r="AC11" s="226" t="s">
        <v>12</v>
      </c>
      <c r="AD11" s="226" t="s">
        <v>12</v>
      </c>
      <c r="AE11" s="226">
        <v>1.0</v>
      </c>
      <c r="AF11" s="226">
        <v>1.0</v>
      </c>
      <c r="AG11" s="226">
        <v>1.0</v>
      </c>
      <c r="AH11" s="226" t="s">
        <v>114</v>
      </c>
      <c r="AI11" s="226" t="s">
        <v>12</v>
      </c>
      <c r="AJ11" s="226">
        <v>2.0</v>
      </c>
      <c r="AK11" s="226">
        <v>3.0</v>
      </c>
      <c r="AL11" s="226">
        <v>3.0</v>
      </c>
      <c r="AM11" s="227">
        <v>3.0</v>
      </c>
      <c r="AN11" s="228"/>
      <c r="AO11" s="229">
        <f>AP11+AQ11+AR11+AX11+AY11+BA11+BB11+BC11+BD11+BE11+BF11</f>
        <v>16</v>
      </c>
      <c r="AP11" s="229">
        <f>COUNTIF(I11:AM11,"1")</f>
        <v>7</v>
      </c>
      <c r="AQ11" s="229">
        <f>COUNTIF(I11:AM11,"2")</f>
        <v>3</v>
      </c>
      <c r="AR11" s="229">
        <f>COUNTIF(I11:AM11,"3")</f>
        <v>5</v>
      </c>
      <c r="AS11" s="229">
        <f>COUNTIF(I11:AM11,"D")</f>
        <v>15</v>
      </c>
      <c r="AT11" s="229">
        <f>IF(K11=1,0.5,0)+IF(K11=2,0.5,0)+IF(K11=3,0.5,0)+IF(L11=1,0.5,0)+IF(L11=2,0.5,0)+IF(L11=3,0.5,0)+IF(R11=1,0.5,0)+IF(R11=2,0.5,0)+IF(R11=3,0.5,0)+IF(S11=1,0.5,0)+IF(S11=2,0.5,0)+IF(S11=3,0.5,0)+IF(Y11=1,0.5,0)+IF(Y11=2,0.5,0)+IF(Y11=3,0.5,0)+IF(Z11=1,0.5,0)+IF(Z11=2,0.5,0)+IF(Z11=3,0.5,0)+IF(AF11=1,0.5,0)+IF(AF11=2,0.5,0)+IF(AF11=3,0.5,0)+IF(AG11=1,0.5,0)+IF(AG11=2,0.5,0)+IF(AG11=3,0.5,0)</f>
        <v>2</v>
      </c>
      <c r="AU11" s="229">
        <f>IF(I11=1,1,0)+IF(I11=2,1,0)+IF(I11=3,1,0)+IF(N11=1,1,0)+IF(N11=2,1,0)+IF(N11=3,1,0)</f>
        <v>1</v>
      </c>
      <c r="AV11" s="246">
        <f>(AP11*8)+(AQ11*8)+(AR11*9.5*1.25)+(AX11*7.5)+(AY11*7.5)+(BA11*8)+(BB11*7.5)+(BC11*7.5)+(BD11*7.5)+(BF11*7.5)</f>
        <v>139.375</v>
      </c>
      <c r="AW11" s="229">
        <f>COUNTIF(I11:AM12,"Vacac")+COUNTIF(I11:AM12,"V a c a c")</f>
        <v>0</v>
      </c>
      <c r="AX11" s="229">
        <f>COUNTIF(I11:AM12,"AP")</f>
        <v>0</v>
      </c>
      <c r="AY11" s="229">
        <f>COUNTIF(I11:AM11,"Ts")</f>
        <v>0</v>
      </c>
      <c r="AZ11" s="229">
        <f>COUNTIF(I11:AM12,"Baja")+COUNTIF(I11:AM12,"B a j a")</f>
        <v>0</v>
      </c>
      <c r="BA11" s="229">
        <f>COUNTIF(I11:AM12,"JuB")/2</f>
        <v>0</v>
      </c>
      <c r="BB11" s="229">
        <f>COUNTIF(I11:AM12,"JuC")</f>
        <v>0</v>
      </c>
      <c r="BC11" s="229">
        <f>COUNTIF(I11:AM12,"Perm")</f>
        <v>0</v>
      </c>
      <c r="BD11" s="229">
        <f>COUNTIF(I11:AM12,"Curso")</f>
        <v>0</v>
      </c>
      <c r="BE11" s="229">
        <f>COUNTIF(I11:AM12,"*Dc*")</f>
        <v>1</v>
      </c>
      <c r="BF11" s="229">
        <f>COUNTIF(I11:AM12,"Indisp")</f>
        <v>0</v>
      </c>
      <c r="BG11" s="229">
        <f>COUNTIF($I$51:$AM$53,C11)</f>
        <v>13</v>
      </c>
      <c r="BH11" s="229">
        <f>IF(L11=1,1,0)+IF(L11=2,1,0)+IF(L11=3,1,0)+IF(S11=1,1,0)+IF(S11=2,1,0)+IF(S11=3,1,0)+IF(Z11=1,1,0)+IF(Z11=2,1,0)+IF(Z11=3,1,0)+IF(AG11=1,1,0)+IF(AG11=2,1,0)+IF(AG11=3,1,0)</f>
        <v>2</v>
      </c>
    </row>
    <row r="12" ht="26.25" customHeight="1">
      <c r="A12" s="73"/>
      <c r="B12" s="74"/>
      <c r="C12" s="114"/>
      <c r="D12" s="230"/>
      <c r="E12" s="231"/>
      <c r="F12" s="232"/>
      <c r="G12" s="232"/>
      <c r="H12" s="233"/>
      <c r="I12" s="234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6"/>
      <c r="W12" s="236"/>
      <c r="X12" s="236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7"/>
      <c r="AN12" s="204"/>
      <c r="AO12" s="229"/>
      <c r="AP12" s="229"/>
      <c r="AQ12" s="229"/>
      <c r="AR12" s="229"/>
      <c r="AS12" s="229"/>
      <c r="AT12" s="229"/>
      <c r="AU12" s="229"/>
      <c r="AV12" s="246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</row>
    <row r="13" ht="26.25" customHeight="1">
      <c r="A13" s="221" t="s">
        <v>74</v>
      </c>
      <c r="B13" s="222" t="s">
        <v>72</v>
      </c>
      <c r="C13" s="223" t="s">
        <v>24</v>
      </c>
      <c r="D13" s="241" t="s">
        <v>12</v>
      </c>
      <c r="E13" s="242" t="s">
        <v>12</v>
      </c>
      <c r="F13" s="243" t="s">
        <v>12</v>
      </c>
      <c r="G13" s="242">
        <v>3.0</v>
      </c>
      <c r="H13" s="244" t="s">
        <v>12</v>
      </c>
      <c r="I13" s="253">
        <v>2.0</v>
      </c>
      <c r="J13" s="226">
        <v>2.0</v>
      </c>
      <c r="K13" s="226">
        <v>2.0</v>
      </c>
      <c r="L13" s="226">
        <v>2.0</v>
      </c>
      <c r="M13" s="226">
        <v>3.0</v>
      </c>
      <c r="N13" s="226" t="s">
        <v>12</v>
      </c>
      <c r="O13" s="226" t="s">
        <v>12</v>
      </c>
      <c r="P13" s="226" t="s">
        <v>12</v>
      </c>
      <c r="Q13" s="226" t="s">
        <v>12</v>
      </c>
      <c r="R13" s="226" t="s">
        <v>12</v>
      </c>
      <c r="S13" s="226" t="s">
        <v>12</v>
      </c>
      <c r="T13" s="226">
        <v>2.0</v>
      </c>
      <c r="U13" s="252">
        <v>3.0</v>
      </c>
      <c r="V13" s="226" t="s">
        <v>12</v>
      </c>
      <c r="W13" s="226" t="s">
        <v>12</v>
      </c>
      <c r="X13" s="226" t="s">
        <v>12</v>
      </c>
      <c r="Y13" s="226" t="s">
        <v>12</v>
      </c>
      <c r="Z13" s="226" t="s">
        <v>12</v>
      </c>
      <c r="AA13" s="226">
        <v>1.0</v>
      </c>
      <c r="AB13" s="252">
        <v>1.0</v>
      </c>
      <c r="AC13" s="226" t="s">
        <v>12</v>
      </c>
      <c r="AD13" s="226" t="s">
        <v>12</v>
      </c>
      <c r="AE13" s="226">
        <v>3.0</v>
      </c>
      <c r="AF13" s="226">
        <v>3.0</v>
      </c>
      <c r="AG13" s="226">
        <v>3.0</v>
      </c>
      <c r="AH13" s="226" t="s">
        <v>12</v>
      </c>
      <c r="AI13" s="226" t="s">
        <v>12</v>
      </c>
      <c r="AJ13" s="226">
        <v>1.0</v>
      </c>
      <c r="AK13" s="226">
        <v>1.0</v>
      </c>
      <c r="AL13" s="226">
        <v>2.0</v>
      </c>
      <c r="AM13" s="227">
        <v>2.0</v>
      </c>
      <c r="AN13" s="228"/>
      <c r="AO13" s="229">
        <f>AP13+AQ13+AR13+AX13+AY13+BA13+BB13+BC13+BD13+BE13+BF13</f>
        <v>16</v>
      </c>
      <c r="AP13" s="229">
        <f>COUNTIF(I13:AM13,"1")</f>
        <v>4</v>
      </c>
      <c r="AQ13" s="229">
        <f>COUNTIF(I13:AM13,"2")</f>
        <v>7</v>
      </c>
      <c r="AR13" s="229">
        <f>COUNTIF(I13:AM13,"3")</f>
        <v>5</v>
      </c>
      <c r="AS13" s="229">
        <f>COUNTIF(I13:AM13,"D")</f>
        <v>15</v>
      </c>
      <c r="AT13" s="229">
        <f>IF(K13=1,0.5,0)+IF(K13=2,0.5,0)+IF(K13=3,0.5,0)+IF(L13=1,0.5,0)+IF(L13=2,0.5,0)+IF(L13=3,0.5,0)+IF(R13=1,0.5,0)+IF(R13=2,0.5,0)+IF(R13=3,0.5,0)+IF(S13=1,0.5,0)+IF(S13=2,0.5,0)+IF(S13=3,0.5,0)+IF(Y13=1,0.5,0)+IF(Y13=2,0.5,0)+IF(Y13=3,0.5,0)+IF(Z13=1,0.5,0)+IF(Z13=2,0.5,0)+IF(Z13=3,0.5,0)+IF(AF13=1,0.5,0)+IF(AF13=2,0.5,0)+IF(AF13=3,0.5,0)+IF(AG13=1,0.5,0)+IF(AG13=2,0.5,0)+IF(AG13=3,0.5,0)</f>
        <v>2</v>
      </c>
      <c r="AU13" s="229">
        <f>IF(I13=1,1,0)+IF(I13=2,1,0)+IF(I13=3,1,0)+IF(N13=1,1,0)+IF(N13=2,1,0)+IF(N13=3,1,0)</f>
        <v>1</v>
      </c>
      <c r="AV13" s="246">
        <f>(AP13*8)+(AQ13*8)+(AR13*9.5*1.25)+(AX13*7.5)+(AY13*7.5)+(BA13*8)+(BB13*7.5)+(BC13*7.5)+(BD13*7.5)+(BF13*7.5)</f>
        <v>147.375</v>
      </c>
      <c r="AW13" s="229">
        <f>COUNTIF(I13:AM14,"Vacac")+COUNTIF(I13:AM14,"V a c a c")</f>
        <v>0</v>
      </c>
      <c r="AX13" s="229">
        <f>COUNTIF(I13:AM14,"AP")</f>
        <v>0</v>
      </c>
      <c r="AY13" s="229">
        <f>COUNTIF(I13:AM13,"Ts")</f>
        <v>0</v>
      </c>
      <c r="AZ13" s="229">
        <f>COUNTIF(I13:AM14,"Baja")+COUNTIF(I13:AM14,"B a j a")</f>
        <v>0</v>
      </c>
      <c r="BA13" s="229">
        <f>COUNTIF(I13:AM14,"JuB")/2</f>
        <v>0</v>
      </c>
      <c r="BB13" s="229">
        <f>COUNTIF(I13:AM14,"JuC")</f>
        <v>0</v>
      </c>
      <c r="BC13" s="229">
        <f>COUNTIF(I13:AM14,"Perm")</f>
        <v>0</v>
      </c>
      <c r="BD13" s="229">
        <f>COUNTIF(I13:AM14,"Curso")</f>
        <v>0</v>
      </c>
      <c r="BE13" s="229">
        <f>COUNTIF(I13:AM14,"*Dc*")</f>
        <v>0</v>
      </c>
      <c r="BF13" s="229">
        <f>COUNTIF(I13:AM14,"Indisp")</f>
        <v>0</v>
      </c>
      <c r="BG13" s="229">
        <f>COUNTIF($I$51:$AM$53,C13)</f>
        <v>15</v>
      </c>
      <c r="BH13" s="229">
        <f>IF(L13=1,1,0)+IF(L13=2,1,0)+IF(L13=3,1,0)+IF(S13=1,1,0)+IF(S13=2,1,0)+IF(S13=3,1,0)+IF(Z13=1,1,0)+IF(Z13=2,1,0)+IF(Z13=3,1,0)+IF(AG13=1,1,0)+IF(AG13=2,1,0)+IF(AG13=3,1,0)</f>
        <v>2</v>
      </c>
    </row>
    <row r="14" ht="26.25" customHeight="1">
      <c r="A14" s="73"/>
      <c r="B14" s="74"/>
      <c r="C14" s="114"/>
      <c r="D14" s="230"/>
      <c r="E14" s="231"/>
      <c r="F14" s="232"/>
      <c r="G14" s="232"/>
      <c r="H14" s="233"/>
      <c r="I14" s="254">
        <v>3.0</v>
      </c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51" t="s">
        <v>115</v>
      </c>
      <c r="U14" s="251" t="s">
        <v>12</v>
      </c>
      <c r="V14" s="236"/>
      <c r="W14" s="236"/>
      <c r="X14" s="236"/>
      <c r="Y14" s="235"/>
      <c r="Z14" s="235"/>
      <c r="AA14" s="235"/>
      <c r="AB14" s="251">
        <v>2.0</v>
      </c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7"/>
      <c r="AN14" s="204"/>
      <c r="AO14" s="229"/>
      <c r="AP14" s="229"/>
      <c r="AQ14" s="229"/>
      <c r="AR14" s="229"/>
      <c r="AS14" s="229"/>
      <c r="AT14" s="229"/>
      <c r="AU14" s="229"/>
      <c r="AV14" s="246"/>
      <c r="AW14" s="229"/>
      <c r="AX14" s="229"/>
      <c r="AY14" s="229"/>
      <c r="AZ14" s="229"/>
      <c r="BA14" s="229"/>
      <c r="BB14" s="229"/>
      <c r="BC14" s="229"/>
      <c r="BD14" s="229"/>
      <c r="BE14" s="229"/>
      <c r="BF14" s="229"/>
    </row>
    <row r="15" ht="26.25" customHeight="1">
      <c r="A15" s="238" t="s">
        <v>75</v>
      </c>
      <c r="B15" s="239" t="s">
        <v>72</v>
      </c>
      <c r="C15" s="240" t="s">
        <v>25</v>
      </c>
      <c r="D15" s="241" t="s">
        <v>12</v>
      </c>
      <c r="E15" s="242" t="s">
        <v>12</v>
      </c>
      <c r="F15" s="243" t="s">
        <v>12</v>
      </c>
      <c r="G15" s="242">
        <v>2.0</v>
      </c>
      <c r="H15" s="244">
        <v>2.0</v>
      </c>
      <c r="I15" s="245" t="s">
        <v>12</v>
      </c>
      <c r="J15" s="226">
        <v>3.0</v>
      </c>
      <c r="K15" s="226" t="s">
        <v>12</v>
      </c>
      <c r="L15" s="226" t="s">
        <v>12</v>
      </c>
      <c r="M15" s="226" t="s">
        <v>12</v>
      </c>
      <c r="N15" s="226" t="s">
        <v>12</v>
      </c>
      <c r="O15" s="226" t="s">
        <v>12</v>
      </c>
      <c r="P15" s="226" t="s">
        <v>12</v>
      </c>
      <c r="Q15" s="252">
        <v>1.0</v>
      </c>
      <c r="R15" s="226" t="s">
        <v>12</v>
      </c>
      <c r="S15" s="226" t="s">
        <v>12</v>
      </c>
      <c r="T15" s="226">
        <v>1.0</v>
      </c>
      <c r="U15" s="226">
        <v>1.0</v>
      </c>
      <c r="V15" s="226" t="s">
        <v>68</v>
      </c>
      <c r="W15" s="226">
        <v>3.0</v>
      </c>
      <c r="X15" s="226">
        <v>3.0</v>
      </c>
      <c r="Y15" s="226">
        <v>3.0</v>
      </c>
      <c r="Z15" s="226" t="s">
        <v>12</v>
      </c>
      <c r="AA15" s="226" t="s">
        <v>12</v>
      </c>
      <c r="AB15" s="226" t="s">
        <v>68</v>
      </c>
      <c r="AC15" s="226">
        <v>1.0</v>
      </c>
      <c r="AD15" s="226">
        <v>2.0</v>
      </c>
      <c r="AE15" s="226">
        <v>2.0</v>
      </c>
      <c r="AF15" s="226">
        <v>2.0</v>
      </c>
      <c r="AG15" s="226">
        <v>2.0</v>
      </c>
      <c r="AH15" s="226" t="s">
        <v>12</v>
      </c>
      <c r="AI15" s="226" t="s">
        <v>68</v>
      </c>
      <c r="AJ15" s="226" t="s">
        <v>12</v>
      </c>
      <c r="AK15" s="226">
        <v>3.0</v>
      </c>
      <c r="AL15" s="226" t="s">
        <v>12</v>
      </c>
      <c r="AM15" s="227" t="s">
        <v>12</v>
      </c>
      <c r="AN15" s="228"/>
      <c r="AO15" s="229">
        <f>AP15+AQ15+AR15+AX15+AY15+BA15+BB15+BC15+BD15+BE15+BF15</f>
        <v>17</v>
      </c>
      <c r="AP15" s="229">
        <f>COUNTIF(I15:AM15,"1")</f>
        <v>4</v>
      </c>
      <c r="AQ15" s="229">
        <f>COUNTIF(I15:AM15,"2")</f>
        <v>4</v>
      </c>
      <c r="AR15" s="229">
        <f>COUNTIF(I15:AM15,"3")</f>
        <v>5</v>
      </c>
      <c r="AS15" s="229">
        <f>COUNTIF(I15:AM15,"D")</f>
        <v>15</v>
      </c>
      <c r="AT15" s="229">
        <f>IF(K15=1,0.5,0)+IF(K15=2,0.5,0)+IF(K15=3,0.5,0)+IF(L15=1,0.5,0)+IF(L15=2,0.5,0)+IF(L15=3,0.5,0)+IF(R15=1,0.5,0)+IF(R15=2,0.5,0)+IF(R15=3,0.5,0)+IF(S15=1,0.5,0)+IF(S15=2,0.5,0)+IF(S15=3,0.5,0)+IF(Y15=1,0.5,0)+IF(Y15=2,0.5,0)+IF(Y15=3,0.5,0)+IF(Z15=1,0.5,0)+IF(Z15=2,0.5,0)+IF(Z15=3,0.5,0)+IF(AF15=1,0.5,0)+IF(AF15=2,0.5,0)+IF(AF15=3,0.5,0)+IF(AG15=1,0.5,0)+IF(AG15=2,0.5,0)+IF(AG15=3,0.5,0)+0.5+0.5</f>
        <v>2.5</v>
      </c>
      <c r="AU15" s="229">
        <f>IF(I15=1,1,0)+IF(I15=2,1,0)+IF(I15=3,1,0)+IF(N15=1,1,0)+IF(N15=2,1,0)+IF(N15=3,1,0)</f>
        <v>0</v>
      </c>
      <c r="AV15" s="246">
        <f>(AP15*8)+(AQ15*8)+(AR15*9.5*1.25)+(AX15*7.5)+(AY15*7.5)+(BA15*8)+(BB15*7.5)+(BC15*7.5)+(BD15*7.5)+(BF15*7.5)</f>
        <v>153.375</v>
      </c>
      <c r="AW15" s="229">
        <f>COUNTIF(I15:AM16,"Vacac")+COUNTIF(I15:AM16,"V a c a c")</f>
        <v>0</v>
      </c>
      <c r="AX15" s="229">
        <f>COUNTIF(I15:AM16,"AP")</f>
        <v>3</v>
      </c>
      <c r="AY15" s="229">
        <f>COUNTIF(I15:AM15,"Ts")</f>
        <v>0</v>
      </c>
      <c r="AZ15" s="229">
        <f>COUNTIF(I15:AM16,"Baja")+COUNTIF(I15:AM16,"B a j a")</f>
        <v>0</v>
      </c>
      <c r="BA15" s="229">
        <f>COUNTIF(I15:AM16,"JuB")/2</f>
        <v>0</v>
      </c>
      <c r="BB15" s="229">
        <f>COUNTIF(I15:AM16,"JuC")</f>
        <v>0</v>
      </c>
      <c r="BC15" s="229">
        <f>COUNTIF(I15:AM16,"Perm")</f>
        <v>1</v>
      </c>
      <c r="BD15" s="229">
        <f>COUNTIF(I15:AM16,"Curso")</f>
        <v>0</v>
      </c>
      <c r="BE15" s="229">
        <f>COUNTIF(I15:AM16,"*Dc*")</f>
        <v>0</v>
      </c>
      <c r="BF15" s="229">
        <f>COUNTIF(I15:AM16,"Indisp")</f>
        <v>0</v>
      </c>
      <c r="BG15" s="229">
        <f>COUNTIF($I$51:$AM$53,C15)</f>
        <v>6</v>
      </c>
      <c r="BH15" s="229">
        <f>IF(L15=1,1,0)+IF(L15=2,1,0)+IF(L15=3,1,0)+IF(S15=1,1,0)+IF(S15=2,1,0)+IF(S15=3,1,0)+IF(Z15=1,1,0)+IF(Z15=2,1,0)+IF(Z15=3,1,0)+IF(AG15=1,1,0)+IF(AG15=2,1,0)+IF(AG15=3,1,0)</f>
        <v>1</v>
      </c>
    </row>
    <row r="16" ht="26.25" customHeight="1">
      <c r="A16" s="73"/>
      <c r="B16" s="74"/>
      <c r="C16" s="114"/>
      <c r="D16" s="230"/>
      <c r="E16" s="231"/>
      <c r="F16" s="232"/>
      <c r="G16" s="232"/>
      <c r="H16" s="233"/>
      <c r="I16" s="234"/>
      <c r="J16" s="235"/>
      <c r="K16" s="235"/>
      <c r="L16" s="235"/>
      <c r="M16" s="235"/>
      <c r="N16" s="235"/>
      <c r="O16" s="235"/>
      <c r="P16" s="235"/>
      <c r="Q16" s="255" t="s">
        <v>116</v>
      </c>
      <c r="R16" s="235"/>
      <c r="S16" s="235"/>
      <c r="T16" s="235"/>
      <c r="U16" s="235"/>
      <c r="V16" s="236"/>
      <c r="W16" s="236"/>
      <c r="X16" s="236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7"/>
      <c r="AN16" s="204"/>
      <c r="AO16" s="229"/>
      <c r="AP16" s="229"/>
      <c r="AQ16" s="229"/>
      <c r="AR16" s="229"/>
      <c r="AS16" s="229"/>
      <c r="AT16" s="229"/>
      <c r="AU16" s="229"/>
      <c r="AV16" s="246"/>
      <c r="AW16" s="229"/>
      <c r="AX16" s="229"/>
      <c r="AY16" s="229"/>
      <c r="AZ16" s="229"/>
      <c r="BA16" s="229"/>
      <c r="BB16" s="229"/>
      <c r="BC16" s="229"/>
      <c r="BD16" s="229"/>
      <c r="BE16" s="229"/>
      <c r="BF16" s="229"/>
    </row>
    <row r="17" ht="26.25" customHeight="1">
      <c r="A17" s="221" t="s">
        <v>77</v>
      </c>
      <c r="B17" s="222" t="s">
        <v>72</v>
      </c>
      <c r="C17" s="223" t="s">
        <v>26</v>
      </c>
      <c r="D17" s="241" t="s">
        <v>12</v>
      </c>
      <c r="E17" s="242" t="s">
        <v>12</v>
      </c>
      <c r="F17" s="243" t="s">
        <v>12</v>
      </c>
      <c r="G17" s="242" t="s">
        <v>12</v>
      </c>
      <c r="H17" s="244">
        <v>3.0</v>
      </c>
      <c r="I17" s="253">
        <v>3.0</v>
      </c>
      <c r="J17" s="252">
        <v>3.0</v>
      </c>
      <c r="K17" s="226" t="s">
        <v>12</v>
      </c>
      <c r="L17" s="226" t="s">
        <v>12</v>
      </c>
      <c r="M17" s="226">
        <v>1.0</v>
      </c>
      <c r="N17" s="226">
        <v>1.0</v>
      </c>
      <c r="O17" s="226" t="s">
        <v>12</v>
      </c>
      <c r="P17" s="226">
        <v>3.0</v>
      </c>
      <c r="Q17" s="226">
        <v>3.0</v>
      </c>
      <c r="R17" s="226">
        <v>3.0</v>
      </c>
      <c r="S17" s="252" t="s">
        <v>12</v>
      </c>
      <c r="T17" s="226" t="s">
        <v>12</v>
      </c>
      <c r="U17" s="226" t="s">
        <v>12</v>
      </c>
      <c r="V17" s="226">
        <v>1.0</v>
      </c>
      <c r="W17" s="226">
        <v>2.0</v>
      </c>
      <c r="X17" s="252">
        <v>2.0</v>
      </c>
      <c r="Y17" s="252">
        <v>2.0</v>
      </c>
      <c r="Z17" s="252">
        <v>2.0</v>
      </c>
      <c r="AA17" s="226" t="s">
        <v>12</v>
      </c>
      <c r="AB17" s="226" t="s">
        <v>12</v>
      </c>
      <c r="AC17" s="226" t="s">
        <v>12</v>
      </c>
      <c r="AD17" s="226">
        <v>1.0</v>
      </c>
      <c r="AE17" s="226">
        <v>1.0</v>
      </c>
      <c r="AF17" s="226" t="s">
        <v>12</v>
      </c>
      <c r="AG17" s="226" t="s">
        <v>12</v>
      </c>
      <c r="AH17" s="226" t="s">
        <v>12</v>
      </c>
      <c r="AI17" s="226">
        <v>1.0</v>
      </c>
      <c r="AJ17" s="226">
        <v>1.0</v>
      </c>
      <c r="AK17" s="226" t="s">
        <v>12</v>
      </c>
      <c r="AL17" s="226" t="s">
        <v>12</v>
      </c>
      <c r="AM17" s="256" t="s">
        <v>12</v>
      </c>
      <c r="AN17" s="228"/>
      <c r="AO17" s="229">
        <f>AP17+AQ17+AR17+AX17+AY17+BA17+BB17+BC17+BD17+BE17+BF17</f>
        <v>16</v>
      </c>
      <c r="AP17" s="229">
        <f>COUNTIF(I17:AM17,"1")</f>
        <v>7</v>
      </c>
      <c r="AQ17" s="229">
        <f>COUNTIF(I17:AM17,"2")</f>
        <v>4</v>
      </c>
      <c r="AR17" s="229">
        <f>COUNTIF(I17:AM17,"3")</f>
        <v>5</v>
      </c>
      <c r="AS17" s="229">
        <f>COUNTIF(I17:AM17,"D")</f>
        <v>15</v>
      </c>
      <c r="AT17" s="229">
        <f>IF(K17=1,0.5,0)+IF(K17=2,0.5,0)+IF(K17=3,0.5,0)+IF(L17=1,0.5,0)+IF(L17=2,0.5,0)+IF(L17=3,0.5,0)+IF(R17=1,0.5,0)+IF(R17=2,0.5,0)+IF(R17=3,0.5,0)+IF(S17=1,0.5,0)+IF(S17=2,0.5,0)+IF(S17=3,0.5,0)+IF(Y17=1,0.5,0)+IF(Y17=2,0.5,0)+IF(Y17=3,0.5,0)+IF(Z17=1,0.5,0)+IF(Z17=2,0.5,0)+IF(Z17=3,0.5,0)+IF(AF17=1,0.5,0)+IF(AF17=2,0.5,0)+IF(AF17=3,0.5,0)+IF(AG17=1,0.5,0)+IF(AG17=2,0.5,0)+IF(AG17=3,0.5,0)+0.5</f>
        <v>2</v>
      </c>
      <c r="AU17" s="229">
        <f>IF(I17=1,1,0)+IF(I17=2,1,0)+IF(I17=3,1,0)+IF(N17=1,1,0)+IF(N17=2,1,0)+IF(N17=3,1,0)</f>
        <v>2</v>
      </c>
      <c r="AV17" s="246">
        <f>(AP17*8)+(AQ17*8)+(AR17*9.5*1.25)+(AX17*7.5)+(AY17*7.5)+(BA17*8)+(BB17*7.5)+(BC17*7.5)+(BD17*7.5)+(BF17*7.5)</f>
        <v>147.375</v>
      </c>
      <c r="AW17" s="229">
        <f>COUNTIF(I17:AM18,"Vacac")+COUNTIF(I17:AM18,"V a c a c")</f>
        <v>0</v>
      </c>
      <c r="AX17" s="229">
        <f>COUNTIF(I17:AM18,"AP")</f>
        <v>0</v>
      </c>
      <c r="AY17" s="229">
        <f>COUNTIF(I17:AM17,"Ts")</f>
        <v>0</v>
      </c>
      <c r="AZ17" s="229">
        <f>COUNTIF(I17:AM18,"Baja")+COUNTIF(I17:AM18,"B a j a")</f>
        <v>0</v>
      </c>
      <c r="BA17" s="229">
        <f>COUNTIF(I17:AM18,"JuB")/2</f>
        <v>0</v>
      </c>
      <c r="BB17" s="229">
        <f>COUNTIF(I17:AM18,"JuC")</f>
        <v>0</v>
      </c>
      <c r="BC17" s="229">
        <f>COUNTIF(I17:AM18,"Perm")</f>
        <v>0</v>
      </c>
      <c r="BD17" s="229">
        <f>COUNTIF(I17:AM18,"Curso")</f>
        <v>0</v>
      </c>
      <c r="BE17" s="229">
        <f>COUNTIF(I17:AM18,"*Dc*")</f>
        <v>0</v>
      </c>
      <c r="BF17" s="229">
        <f>COUNTIF(I17:AM18,"Indisp")</f>
        <v>0</v>
      </c>
      <c r="BG17" s="229">
        <f>COUNTIF($I$51:$AM$53,C17)</f>
        <v>11</v>
      </c>
      <c r="BH17" s="229">
        <f>IF(L17=1,1,0)+IF(L17=2,1,0)+IF(L17=3,1,0)+IF(S17=1,1,0)+IF(S17=2,1,0)+IF(S17=3,1,0)+IF(Z17=1,1,0)+IF(Z17=2,1,0)+IF(Z17=3,1,0)+IF(AG17=1,1,0)+IF(AG17=2,1,0)+IF(AG17=3,1,0)</f>
        <v>1</v>
      </c>
    </row>
    <row r="18" ht="26.25" customHeight="1">
      <c r="A18" s="73"/>
      <c r="B18" s="74"/>
      <c r="C18" s="114"/>
      <c r="D18" s="230"/>
      <c r="E18" s="231"/>
      <c r="F18" s="232"/>
      <c r="G18" s="232"/>
      <c r="H18" s="233"/>
      <c r="I18" s="254" t="s">
        <v>12</v>
      </c>
      <c r="J18" s="251" t="s">
        <v>12</v>
      </c>
      <c r="K18" s="235"/>
      <c r="L18" s="235"/>
      <c r="M18" s="235"/>
      <c r="N18" s="235"/>
      <c r="O18" s="235"/>
      <c r="P18" s="235"/>
      <c r="Q18" s="251" t="s">
        <v>117</v>
      </c>
      <c r="R18" s="251" t="s">
        <v>117</v>
      </c>
      <c r="S18" s="251">
        <v>2.0</v>
      </c>
      <c r="T18" s="235"/>
      <c r="U18" s="235"/>
      <c r="V18" s="236"/>
      <c r="W18" s="236"/>
      <c r="X18" s="257" t="s">
        <v>12</v>
      </c>
      <c r="Y18" s="251" t="s">
        <v>12</v>
      </c>
      <c r="Z18" s="251" t="s">
        <v>12</v>
      </c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7"/>
      <c r="AN18" s="204"/>
      <c r="AO18" s="229"/>
      <c r="AP18" s="229"/>
      <c r="AQ18" s="229"/>
      <c r="AR18" s="229"/>
      <c r="AS18" s="229"/>
      <c r="AT18" s="229"/>
      <c r="AU18" s="229"/>
      <c r="AV18" s="246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</row>
    <row r="19" ht="26.25" customHeight="1">
      <c r="A19" s="238" t="s">
        <v>78</v>
      </c>
      <c r="B19" s="239" t="s">
        <v>72</v>
      </c>
      <c r="C19" s="240" t="s">
        <v>27</v>
      </c>
      <c r="D19" s="241">
        <v>3.0</v>
      </c>
      <c r="E19" s="242">
        <v>3.0</v>
      </c>
      <c r="F19" s="243" t="s">
        <v>12</v>
      </c>
      <c r="G19" s="242" t="s">
        <v>118</v>
      </c>
      <c r="H19" s="244">
        <v>1.0</v>
      </c>
      <c r="I19" s="245">
        <v>1.0</v>
      </c>
      <c r="J19" s="226">
        <v>2.0</v>
      </c>
      <c r="K19" s="226" t="s">
        <v>12</v>
      </c>
      <c r="L19" s="226" t="s">
        <v>12</v>
      </c>
      <c r="M19" s="226" t="s">
        <v>12</v>
      </c>
      <c r="N19" s="226" t="s">
        <v>12</v>
      </c>
      <c r="O19" s="226" t="s">
        <v>12</v>
      </c>
      <c r="P19" s="226" t="s">
        <v>12</v>
      </c>
      <c r="Q19" s="252">
        <v>2.0</v>
      </c>
      <c r="R19" s="252">
        <v>2.0</v>
      </c>
      <c r="S19" s="252">
        <v>2.0</v>
      </c>
      <c r="T19" s="226" t="s">
        <v>114</v>
      </c>
      <c r="U19" s="226" t="s">
        <v>21</v>
      </c>
      <c r="V19" s="226">
        <v>1.0</v>
      </c>
      <c r="W19" s="226">
        <v>3.0</v>
      </c>
      <c r="X19" s="226">
        <v>3.0</v>
      </c>
      <c r="Y19" s="226">
        <v>3.0</v>
      </c>
      <c r="Z19" s="252" t="s">
        <v>12</v>
      </c>
      <c r="AA19" s="226" t="s">
        <v>12</v>
      </c>
      <c r="AB19" s="226">
        <v>1.0</v>
      </c>
      <c r="AC19" s="226">
        <v>1.0</v>
      </c>
      <c r="AD19" s="226" t="s">
        <v>21</v>
      </c>
      <c r="AE19" s="226" t="s">
        <v>12</v>
      </c>
      <c r="AF19" s="226" t="s">
        <v>12</v>
      </c>
      <c r="AG19" s="226" t="s">
        <v>12</v>
      </c>
      <c r="AH19" s="226">
        <v>3.0</v>
      </c>
      <c r="AI19" s="226">
        <v>3.0</v>
      </c>
      <c r="AJ19" s="226" t="s">
        <v>12</v>
      </c>
      <c r="AK19" s="226" t="s">
        <v>12</v>
      </c>
      <c r="AL19" s="226" t="s">
        <v>12</v>
      </c>
      <c r="AM19" s="227" t="s">
        <v>12</v>
      </c>
      <c r="AN19" s="228"/>
      <c r="AO19" s="229">
        <f>AP19+AQ19+AR19+AX19+AY19+BA19+BB19+BC19+BD19+BE19+BF19</f>
        <v>16</v>
      </c>
      <c r="AP19" s="229">
        <f>COUNTIF(I19:AM19,"1")</f>
        <v>4</v>
      </c>
      <c r="AQ19" s="229">
        <f>COUNTIF(I19:AM19,"2")</f>
        <v>4</v>
      </c>
      <c r="AR19" s="229">
        <f>COUNTIF(I19:AM19,"3")</f>
        <v>5</v>
      </c>
      <c r="AS19" s="229">
        <f>COUNTIF(I19:AM19,"D")</f>
        <v>15</v>
      </c>
      <c r="AT19" s="229">
        <f>IF(K19=1,0.5,0)+IF(K19=2,0.5,0)+IF(K19=3,0.5,0)+IF(L19=1,0.5,0)+IF(L19=2,0.5,0)+IF(L19=3,0.5,0)+IF(R19=1,0.5,0)+IF(R19=2,0.5,0)+IF(R19=3,0.5,0)+IF(S19=1,0.5,0)+IF(S19=2,0.5,0)+IF(S19=3,0.5,0)+IF(Y19=1,0.5,0)+IF(Y19=2,0.5,0)+IF(Y19=3,0.5,0)+IF(Z19=1,0.5,0)+IF(Z19=2,0.5,0)+IF(Z19=3,0.5,0)+IF(AF19=1,0.5,0)+IF(AF19=2,0.5,0)+IF(AF19=3,0.5,0)+IF(AG19=1,0.5,0)+IF(AG19=2,0.5,0)+IF(AG19=3,0.5,0)+0.5</f>
        <v>2</v>
      </c>
      <c r="AU19" s="229">
        <f>IF(I19=1,1,0)+IF(I19=2,1,0)+IF(I19=3,1,0)+IF(N19=1,1,0)+IF(N19=2,1,0)+IF(N19=3,1,0)</f>
        <v>1</v>
      </c>
      <c r="AV19" s="246">
        <f>(AP19*8)+(AQ19*8)+(AR19*9.5*1.25)+(AX19*7.5)+(AY19*7.5)+(BA19*8)+(BB19*7.5)+(BC19*7.5)+(BD19*7.5)+(BF19*7.5)</f>
        <v>138.375</v>
      </c>
      <c r="AW19" s="229">
        <f>COUNTIF(I19:AM20,"Vacac")+COUNTIF(I19:AM20,"V a c a c")</f>
        <v>0</v>
      </c>
      <c r="AX19" s="229">
        <f>COUNTIF(I19:AM20,"AP")</f>
        <v>0</v>
      </c>
      <c r="AY19" s="229">
        <f>COUNTIF(I19:AM19,"Ts")</f>
        <v>2</v>
      </c>
      <c r="AZ19" s="229">
        <f>COUNTIF(I19:AM20,"Baja")+COUNTIF(I19:AM20,"B a j a")</f>
        <v>0</v>
      </c>
      <c r="BA19" s="229">
        <f>COUNTIF(I19:AM20,"JuB")/2</f>
        <v>0</v>
      </c>
      <c r="BB19" s="229">
        <f>COUNTIF(I19:AM20,"JuC")</f>
        <v>0</v>
      </c>
      <c r="BC19" s="229">
        <f>COUNTIF(I19:AM20,"Perm")</f>
        <v>0</v>
      </c>
      <c r="BD19" s="229">
        <f>COUNTIF(I19:AM20,"Curso")</f>
        <v>0</v>
      </c>
      <c r="BE19" s="229">
        <f>COUNTIF(I19:AM20,"*Dc*")</f>
        <v>1</v>
      </c>
      <c r="BF19" s="229">
        <f>COUNTIF(I19:AM20,"Indisp")</f>
        <v>0</v>
      </c>
      <c r="BG19" s="229">
        <f>COUNTIF($I$51:$AM$53,C19)</f>
        <v>4</v>
      </c>
      <c r="BH19" s="229">
        <f>IF(L19=1,1,0)+IF(L19=2,1,0)+IF(L19=3,1,0)+IF(S19=1,1,0)+IF(S19=2,1,0)+IF(S19=3,1,0)+IF(Z19=1,1,0)+IF(Z19=2,1,0)+IF(Z19=3,1,0)+IF(AG19=1,1,0)+IF(AG19=2,1,0)+IF(AG19=3,1,0)</f>
        <v>1</v>
      </c>
    </row>
    <row r="20" ht="26.25" customHeight="1">
      <c r="A20" s="73"/>
      <c r="B20" s="74"/>
      <c r="C20" s="114"/>
      <c r="D20" s="230"/>
      <c r="E20" s="231"/>
      <c r="F20" s="232"/>
      <c r="G20" s="232"/>
      <c r="H20" s="233"/>
      <c r="I20" s="234"/>
      <c r="J20" s="235"/>
      <c r="K20" s="235"/>
      <c r="L20" s="235"/>
      <c r="M20" s="235"/>
      <c r="N20" s="235"/>
      <c r="O20" s="235"/>
      <c r="P20" s="235"/>
      <c r="Q20" s="251" t="s">
        <v>12</v>
      </c>
      <c r="R20" s="251" t="s">
        <v>12</v>
      </c>
      <c r="S20" s="251" t="s">
        <v>12</v>
      </c>
      <c r="T20" s="235"/>
      <c r="U20" s="235"/>
      <c r="V20" s="236"/>
      <c r="W20" s="236"/>
      <c r="X20" s="257" t="s">
        <v>117</v>
      </c>
      <c r="Y20" s="251" t="s">
        <v>117</v>
      </c>
      <c r="Z20" s="251">
        <v>2.0</v>
      </c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7"/>
      <c r="AN20" s="204"/>
      <c r="AO20" s="229"/>
      <c r="AP20" s="229"/>
      <c r="AQ20" s="229"/>
      <c r="AR20" s="229"/>
      <c r="AS20" s="229"/>
      <c r="AT20" s="229"/>
      <c r="AU20" s="229"/>
      <c r="AV20" s="246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</row>
    <row r="21" ht="26.25" customHeight="1">
      <c r="A21" s="221" t="s">
        <v>79</v>
      </c>
      <c r="B21" s="222" t="s">
        <v>72</v>
      </c>
      <c r="C21" s="223" t="s">
        <v>28</v>
      </c>
      <c r="D21" s="241">
        <v>3.0</v>
      </c>
      <c r="E21" s="242">
        <v>3.0</v>
      </c>
      <c r="F21" s="243" t="s">
        <v>12</v>
      </c>
      <c r="G21" s="242" t="s">
        <v>12</v>
      </c>
      <c r="H21" s="244" t="s">
        <v>12</v>
      </c>
      <c r="I21" s="245" t="s">
        <v>12</v>
      </c>
      <c r="J21" s="226" t="s">
        <v>12</v>
      </c>
      <c r="K21" s="226">
        <v>3.0</v>
      </c>
      <c r="L21" s="226">
        <v>3.0</v>
      </c>
      <c r="M21" s="226">
        <v>3.0</v>
      </c>
      <c r="N21" s="226">
        <v>3.0</v>
      </c>
      <c r="O21" s="226" t="s">
        <v>12</v>
      </c>
      <c r="P21" s="226" t="s">
        <v>12</v>
      </c>
      <c r="Q21" s="226">
        <v>2.0</v>
      </c>
      <c r="R21" s="252">
        <v>2.0</v>
      </c>
      <c r="S21" s="252">
        <v>2.0</v>
      </c>
      <c r="T21" s="226" t="s">
        <v>12</v>
      </c>
      <c r="U21" s="226" t="s">
        <v>12</v>
      </c>
      <c r="V21" s="226">
        <v>1.0</v>
      </c>
      <c r="W21" s="226">
        <v>1.0</v>
      </c>
      <c r="X21" s="226">
        <v>1.0</v>
      </c>
      <c r="Y21" s="252" t="s">
        <v>12</v>
      </c>
      <c r="Z21" s="252" t="s">
        <v>12</v>
      </c>
      <c r="AA21" s="226">
        <v>1.0</v>
      </c>
      <c r="AB21" s="226">
        <v>2.0</v>
      </c>
      <c r="AC21" s="226">
        <v>2.0</v>
      </c>
      <c r="AD21" s="226" t="s">
        <v>12</v>
      </c>
      <c r="AE21" s="226" t="s">
        <v>12</v>
      </c>
      <c r="AF21" s="226" t="s">
        <v>12</v>
      </c>
      <c r="AG21" s="226" t="s">
        <v>12</v>
      </c>
      <c r="AH21" s="226">
        <v>1.0</v>
      </c>
      <c r="AI21" s="226">
        <v>2.0</v>
      </c>
      <c r="AJ21" s="226" t="s">
        <v>12</v>
      </c>
      <c r="AK21" s="226" t="s">
        <v>12</v>
      </c>
      <c r="AL21" s="226" t="s">
        <v>12</v>
      </c>
      <c r="AM21" s="227">
        <v>3.0</v>
      </c>
      <c r="AN21" s="228"/>
      <c r="AO21" s="229">
        <f>AP21+AQ21+AR21+AX21+AY21+BA21+BB21+BC21+BD21+BE21+BF21</f>
        <v>16</v>
      </c>
      <c r="AP21" s="229">
        <f>COUNTIF(I21:AM21,"1")</f>
        <v>5</v>
      </c>
      <c r="AQ21" s="229">
        <f>COUNTIF(I21:AM21,"2")</f>
        <v>6</v>
      </c>
      <c r="AR21" s="229">
        <f>COUNTIF(I21:AM21,"3")</f>
        <v>5</v>
      </c>
      <c r="AS21" s="229">
        <f>COUNTIF(I21:AM21,"D")</f>
        <v>15</v>
      </c>
      <c r="AT21" s="229">
        <f>IF(K21=1,0.5,0)+IF(K21=2,0.5,0)+IF(K21=3,0.5,0)+IF(L21=1,0.5,0)+IF(L21=2,0.5,0)+IF(L21=3,0.5,0)+IF(R21=1,0.5,0)+IF(R21=2,0.5,0)+IF(R21=3,0.5,0)+IF(S21=1,0.5,0)+IF(S21=2,0.5,0)+IF(S21=3,0.5,0)+IF(Y21=1,0.5,0)+IF(Y21=2,0.5,0)+IF(Y21=3,0.5,0)+IF(Z21=1,0.5,0)+IF(Z21=2,0.5,0)+IF(Z21=3,0.5,0)+IF(AF21=1,0.5,0)+IF(AF21=2,0.5,0)+IF(AF21=3,0.5,0)+IF(AG21=1,0.5,0)+IF(AG21=2,0.5,0)+IF(AG21=3,0.5,0)</f>
        <v>2</v>
      </c>
      <c r="AU21" s="229">
        <f>IF(I21=1,1,0)+IF(I21=2,1,0)+IF(I21=3,1,0)+IF(N21=1,1,0)+IF(N21=2,1,0)+IF(N21=3,1,0)</f>
        <v>1</v>
      </c>
      <c r="AV21" s="246">
        <f>(AP21*8)+(AQ21*8)+(AR21*9.5*1.25)+(AX21*7.5)+(AY21*7.5)+(BA21*8)+(BB21*7.5)+(BC21*7.5)+(BD21*7.5)+(BF21*7.5)</f>
        <v>147.375</v>
      </c>
      <c r="AW21" s="229">
        <f>COUNTIF(I21:AM22,"Vacac")+COUNTIF(I21:AM22,"V a c a c")</f>
        <v>0</v>
      </c>
      <c r="AX21" s="229">
        <f>COUNTIF(I21:AM22,"AP")</f>
        <v>0</v>
      </c>
      <c r="AY21" s="229">
        <f>COUNTIF(I21:AM21,"Ts")</f>
        <v>0</v>
      </c>
      <c r="AZ21" s="229">
        <f>COUNTIF(I21:AM22,"Baja")+COUNTIF(I21:AM22,"B a j a")</f>
        <v>0</v>
      </c>
      <c r="BA21" s="229">
        <f>COUNTIF(I21:AM22,"JuB")/2</f>
        <v>0</v>
      </c>
      <c r="BB21" s="229">
        <f>COUNTIF(I21:AM22,"JuC")</f>
        <v>0</v>
      </c>
      <c r="BC21" s="229">
        <f>COUNTIF(I21:AM22,"Perm")</f>
        <v>0</v>
      </c>
      <c r="BD21" s="229">
        <f>COUNTIF(I21:AM22,"Curso")</f>
        <v>0</v>
      </c>
      <c r="BE21" s="229">
        <f>COUNTIF(I21:AM22,"*Dc*")</f>
        <v>0</v>
      </c>
      <c r="BF21" s="229">
        <f>COUNTIF(I21:AM22,"Indisp")</f>
        <v>0</v>
      </c>
      <c r="BG21" s="229">
        <f>COUNTIF($I$51:$AM$53,C21)</f>
        <v>7</v>
      </c>
      <c r="BH21" s="229">
        <f>IF(L21=1,1,0)+IF(L21=2,1,0)+IF(L21=3,1,0)+IF(S21=1,1,0)+IF(S21=2,1,0)+IF(S21=3,1,0)+IF(Z21=1,1,0)+IF(Z21=2,1,0)+IF(Z21=3,1,0)+IF(AG21=1,1,0)+IF(AG21=2,1,0)+IF(AG21=3,1,0)</f>
        <v>2</v>
      </c>
    </row>
    <row r="22" ht="26.25" customHeight="1">
      <c r="A22" s="73"/>
      <c r="B22" s="74"/>
      <c r="C22" s="114"/>
      <c r="D22" s="230"/>
      <c r="E22" s="231"/>
      <c r="F22" s="232"/>
      <c r="G22" s="232"/>
      <c r="H22" s="233"/>
      <c r="I22" s="234"/>
      <c r="J22" s="235"/>
      <c r="K22" s="235"/>
      <c r="L22" s="235"/>
      <c r="M22" s="235"/>
      <c r="N22" s="235"/>
      <c r="O22" s="235"/>
      <c r="P22" s="235"/>
      <c r="Q22" s="235"/>
      <c r="R22" s="251" t="s">
        <v>12</v>
      </c>
      <c r="S22" s="251" t="s">
        <v>12</v>
      </c>
      <c r="T22" s="235"/>
      <c r="U22" s="235"/>
      <c r="V22" s="236"/>
      <c r="W22" s="236"/>
      <c r="X22" s="236"/>
      <c r="Y22" s="251">
        <v>2.0</v>
      </c>
      <c r="Z22" s="251">
        <v>2.0</v>
      </c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7"/>
      <c r="AN22" s="204"/>
      <c r="AO22" s="229"/>
      <c r="AP22" s="229"/>
      <c r="AQ22" s="229"/>
      <c r="AR22" s="229"/>
      <c r="AS22" s="229"/>
      <c r="AT22" s="229"/>
      <c r="AU22" s="229"/>
      <c r="AV22" s="246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</row>
    <row r="23" ht="26.25" customHeight="1">
      <c r="A23" s="238" t="s">
        <v>80</v>
      </c>
      <c r="B23" s="239" t="s">
        <v>72</v>
      </c>
      <c r="C23" s="240" t="s">
        <v>29</v>
      </c>
      <c r="D23" s="241" t="s">
        <v>12</v>
      </c>
      <c r="E23" s="242" t="s">
        <v>12</v>
      </c>
      <c r="F23" s="243" t="s">
        <v>12</v>
      </c>
      <c r="G23" s="242">
        <v>2.0</v>
      </c>
      <c r="H23" s="244">
        <v>3.0</v>
      </c>
      <c r="I23" s="245">
        <v>2.0</v>
      </c>
      <c r="J23" s="226" t="s">
        <v>12</v>
      </c>
      <c r="K23" s="258" t="s">
        <v>12</v>
      </c>
      <c r="L23" s="258" t="s">
        <v>12</v>
      </c>
      <c r="M23" s="226" t="s">
        <v>12</v>
      </c>
      <c r="N23" s="226" t="s">
        <v>12</v>
      </c>
      <c r="O23" s="226">
        <v>1.0</v>
      </c>
      <c r="P23" s="226">
        <v>3.0</v>
      </c>
      <c r="Q23" s="226">
        <v>3.0</v>
      </c>
      <c r="R23" s="226">
        <v>3.0</v>
      </c>
      <c r="S23" s="252" t="s">
        <v>12</v>
      </c>
      <c r="T23" s="226" t="s">
        <v>12</v>
      </c>
      <c r="U23" s="226" t="s">
        <v>12</v>
      </c>
      <c r="V23" s="226" t="s">
        <v>12</v>
      </c>
      <c r="W23" s="226" t="s">
        <v>113</v>
      </c>
      <c r="X23" s="226">
        <v>2.0</v>
      </c>
      <c r="Y23" s="252">
        <v>2.0</v>
      </c>
      <c r="Z23" s="252">
        <v>2.0</v>
      </c>
      <c r="AA23" s="226" t="s">
        <v>12</v>
      </c>
      <c r="AB23" s="258" t="s">
        <v>114</v>
      </c>
      <c r="AC23" s="258">
        <v>1.0</v>
      </c>
      <c r="AD23" s="226">
        <v>1.0</v>
      </c>
      <c r="AE23" s="226" t="s">
        <v>12</v>
      </c>
      <c r="AF23" s="226" t="s">
        <v>12</v>
      </c>
      <c r="AG23" s="226" t="s">
        <v>12</v>
      </c>
      <c r="AH23" s="226" t="s">
        <v>12</v>
      </c>
      <c r="AI23" s="226" t="s">
        <v>113</v>
      </c>
      <c r="AJ23" s="226" t="s">
        <v>12</v>
      </c>
      <c r="AK23" s="258">
        <v>1.0</v>
      </c>
      <c r="AL23" s="226">
        <v>3.0</v>
      </c>
      <c r="AM23" s="227">
        <v>3.0</v>
      </c>
      <c r="AN23" s="228"/>
      <c r="AO23" s="229">
        <f>AP23+AQ23+AR23+AX23+AY23+BA23+BB23+BC23+BD23+BE23+BF23</f>
        <v>16</v>
      </c>
      <c r="AP23" s="229">
        <f>COUNTIF(I23:AM23,"1")</f>
        <v>4</v>
      </c>
      <c r="AQ23" s="229">
        <f>COUNTIF(I23:AM23,"2")</f>
        <v>4</v>
      </c>
      <c r="AR23" s="229">
        <f>COUNTIF(I23:AM23,"3")</f>
        <v>5</v>
      </c>
      <c r="AS23" s="229">
        <f>COUNTIF(I23:AM23,"D")</f>
        <v>15</v>
      </c>
      <c r="AT23" s="229">
        <f>IF(K23=1,0.5,0)+IF(K23=2,0.5,0)+IF(K23=3,0.5,0)+IF(L23=1,0.5,0)+IF(L23=2,0.5,0)+IF(L23=3,0.5,0)+IF(R23=1,0.5,0)+IF(R23=2,0.5,0)+IF(R23=3,0.5,0)+IF(S23=1,0.5,0)+IF(S23=2,0.5,0)+IF(S23=3,0.5,0)+IF(Y23=1,0.5,0)+IF(Y23=2,0.5,0)+IF(Y23=3,0.5,0)+IF(Z23=1,0.5,0)+IF(Z23=2,0.5,0)+IF(Z23=3,0.5,0)+IF(AF23=1,0.5,0)+IF(AF23=2,0.5,0)+IF(AF23=3,0.5,0)+IF(AG23=1,0.5,0)+IF(AG23=2,0.5,0)+IF(AG23=3,0.5,0)+0.5</f>
        <v>2</v>
      </c>
      <c r="AU23" s="229">
        <f>IF(I23=1,1,0)+IF(I23=2,1,0)+IF(I23=3,1,0)+IF(N23=1,1,0)+IF(N23=2,1,0)+IF(N23=3,1,0)</f>
        <v>1</v>
      </c>
      <c r="AV23" s="246">
        <f>(AP23*8)+(AQ23*8)+(AR23*9.5*1.25)+(AX23*7.5)+(AY23*7.5)+(BA23*8)+(BB23*7.5)+(BC23*7.5)+(BD23*7.5)+(BF23*7.5)</f>
        <v>123.375</v>
      </c>
      <c r="AW23" s="229">
        <f>COUNTIF(I23:AM24,"Vacac")+COUNTIF(I23:AM24,"V a c a c")</f>
        <v>0</v>
      </c>
      <c r="AX23" s="229">
        <f>COUNTIF(I23:AM24,"AP")</f>
        <v>0</v>
      </c>
      <c r="AY23" s="229">
        <f>COUNTIF(I23:AM23,"Ts")</f>
        <v>0</v>
      </c>
      <c r="AZ23" s="229">
        <f>COUNTIF(I23:AM24,"Baja")+COUNTIF(I23:AM24,"B a j a")</f>
        <v>0</v>
      </c>
      <c r="BA23" s="229">
        <f>COUNTIF(I23:AM24,"JuB")/2</f>
        <v>0</v>
      </c>
      <c r="BB23" s="229">
        <f>COUNTIF(I23:AM24,"JuC")</f>
        <v>0</v>
      </c>
      <c r="BC23" s="229">
        <f>COUNTIF(I23:AM24,"Perm")</f>
        <v>0</v>
      </c>
      <c r="BD23" s="229">
        <f>COUNTIF(I23:AM24,"Curso")</f>
        <v>0</v>
      </c>
      <c r="BE23" s="229">
        <f>COUNTIF(I23:AM24,"*Dc*")</f>
        <v>3</v>
      </c>
      <c r="BF23" s="229">
        <f>COUNTIF(I23:AM24,"Indisp")</f>
        <v>0</v>
      </c>
      <c r="BG23" s="229">
        <f>COUNTIF($I$51:$AM$53,C23)</f>
        <v>1</v>
      </c>
      <c r="BH23" s="229">
        <f>IF(L23=1,1,0)+IF(L23=2,1,0)+IF(L23=3,1,0)+IF(S23=1,1,0)+IF(S23=2,1,0)+IF(S23=3,1,0)+IF(Z23=1,1,0)+IF(Z23=2,1,0)+IF(Z23=3,1,0)+IF(AG23=1,1,0)+IF(AG23=2,1,0)+IF(AG23=3,1,0)</f>
        <v>1</v>
      </c>
    </row>
    <row r="24" ht="26.25" customHeight="1">
      <c r="A24" s="73"/>
      <c r="B24" s="74"/>
      <c r="C24" s="114"/>
      <c r="D24" s="230"/>
      <c r="E24" s="231"/>
      <c r="F24" s="232"/>
      <c r="G24" s="232"/>
      <c r="H24" s="233"/>
      <c r="I24" s="234"/>
      <c r="J24" s="235"/>
      <c r="K24" s="235"/>
      <c r="L24" s="235"/>
      <c r="M24" s="235"/>
      <c r="N24" s="235"/>
      <c r="O24" s="235"/>
      <c r="P24" s="235"/>
      <c r="Q24" s="235"/>
      <c r="R24" s="251" t="s">
        <v>117</v>
      </c>
      <c r="S24" s="251">
        <v>2.0</v>
      </c>
      <c r="T24" s="235"/>
      <c r="U24" s="235"/>
      <c r="V24" s="236"/>
      <c r="W24" s="236"/>
      <c r="X24" s="236"/>
      <c r="Y24" s="251" t="s">
        <v>12</v>
      </c>
      <c r="Z24" s="251" t="s">
        <v>12</v>
      </c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7"/>
      <c r="AN24" s="204"/>
      <c r="AO24" s="229"/>
      <c r="AP24" s="229"/>
      <c r="AQ24" s="229"/>
      <c r="AR24" s="229"/>
      <c r="AS24" s="229"/>
      <c r="AT24" s="229"/>
      <c r="AU24" s="229"/>
      <c r="AV24" s="246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</row>
    <row r="25" ht="26.25" customHeight="1">
      <c r="A25" s="221" t="s">
        <v>83</v>
      </c>
      <c r="B25" s="222" t="s">
        <v>72</v>
      </c>
      <c r="C25" s="223" t="s">
        <v>30</v>
      </c>
      <c r="D25" s="241">
        <v>2.0</v>
      </c>
      <c r="E25" s="242">
        <v>2.0</v>
      </c>
      <c r="F25" s="243">
        <v>2.0</v>
      </c>
      <c r="G25" s="242" t="s">
        <v>12</v>
      </c>
      <c r="H25" s="244" t="s">
        <v>12</v>
      </c>
      <c r="I25" s="253">
        <v>3.0</v>
      </c>
      <c r="J25" s="226" t="s">
        <v>12</v>
      </c>
      <c r="K25" s="226" t="s">
        <v>12</v>
      </c>
      <c r="L25" s="226" t="s">
        <v>12</v>
      </c>
      <c r="M25" s="226" t="s">
        <v>12</v>
      </c>
      <c r="N25" s="226" t="s">
        <v>12</v>
      </c>
      <c r="O25" s="226">
        <v>1.0</v>
      </c>
      <c r="P25" s="226">
        <v>2.0</v>
      </c>
      <c r="Q25" s="226" t="s">
        <v>12</v>
      </c>
      <c r="R25" s="226" t="s">
        <v>12</v>
      </c>
      <c r="S25" s="226" t="s">
        <v>12</v>
      </c>
      <c r="T25" s="226" t="s">
        <v>12</v>
      </c>
      <c r="U25" s="226">
        <v>2.0</v>
      </c>
      <c r="V25" s="226">
        <v>2.0</v>
      </c>
      <c r="W25" s="226" t="s">
        <v>12</v>
      </c>
      <c r="X25" s="226">
        <v>1.0</v>
      </c>
      <c r="Y25" s="226">
        <v>1.0</v>
      </c>
      <c r="Z25" s="226">
        <v>1.0</v>
      </c>
      <c r="AA25" s="226" t="s">
        <v>12</v>
      </c>
      <c r="AB25" s="226" t="s">
        <v>12</v>
      </c>
      <c r="AC25" s="226" t="s">
        <v>12</v>
      </c>
      <c r="AD25" s="226">
        <v>2.0</v>
      </c>
      <c r="AE25" s="226">
        <v>2.0</v>
      </c>
      <c r="AF25" s="226">
        <v>3.0</v>
      </c>
      <c r="AG25" s="226">
        <v>3.0</v>
      </c>
      <c r="AH25" s="226" t="s">
        <v>12</v>
      </c>
      <c r="AI25" s="226" t="s">
        <v>12</v>
      </c>
      <c r="AJ25" s="226">
        <v>2.0</v>
      </c>
      <c r="AK25" s="226">
        <v>2.0</v>
      </c>
      <c r="AL25" s="226">
        <v>3.0</v>
      </c>
      <c r="AM25" s="227">
        <v>3.0</v>
      </c>
      <c r="AN25" s="228"/>
      <c r="AO25" s="229">
        <f>AP25+AQ25+AR25+AX25+AY25+BA25+BB25+BC25+BD25+BE25+BF25</f>
        <v>16</v>
      </c>
      <c r="AP25" s="229">
        <f>COUNTIF(I25:AM25,"1")</f>
        <v>4</v>
      </c>
      <c r="AQ25" s="229">
        <f>COUNTIF(I25:AM25,"2")</f>
        <v>7</v>
      </c>
      <c r="AR25" s="229">
        <f>COUNTIF(I25:AM25,"3")</f>
        <v>5</v>
      </c>
      <c r="AS25" s="229">
        <f>COUNTIF(I25:AM25,"D")</f>
        <v>15</v>
      </c>
      <c r="AT25" s="229">
        <f>IF(K25=1,0.5,0)+IF(K25=2,0.5,0)+IF(K25=3,0.5,0)+IF(L25=1,0.5,0)+IF(L25=2,0.5,0)+IF(L25=3,0.5,0)+IF(R25=1,0.5,0)+IF(R25=2,0.5,0)+IF(R25=3,0.5,0)+IF(S25=1,0.5,0)+IF(S25=2,0.5,0)+IF(S25=3,0.5,0)+IF(Y25=1,0.5,0)+IF(Y25=2,0.5,0)+IF(Y25=3,0.5,0)+IF(Z25=1,0.5,0)+IF(Z25=2,0.5,0)+IF(Z25=3,0.5,0)+IF(AF25=1,0.5,0)+IF(AF25=2,0.5,0)+IF(AF25=3,0.5,0)+IF(AG25=1,0.5,0)+IF(AG25=2,0.5,0)+IF(AG25=3,0.5,0)</f>
        <v>2</v>
      </c>
      <c r="AU25" s="229">
        <f>IF(I25=1,1,0)+IF(I25=2,1,0)+IF(I25=3,1,0)+IF(N25=1,1,0)+IF(N25=2,1,0)+IF(N25=3,1,0)</f>
        <v>1</v>
      </c>
      <c r="AV25" s="246">
        <f>(AP25*8)+(AQ25*8)+(AR25*9.5*1.25)+(AX25*7.5)+(AY25*7.5)+(BA25*8)+(BB25*7.5)+(BC25*7.5)+(BD25*7.5)+(BF25*7.5)</f>
        <v>147.375</v>
      </c>
      <c r="AW25" s="229">
        <f>COUNTIF(I25:AM26,"Vacac")+COUNTIF(I25:AM26,"V a c a c")</f>
        <v>0</v>
      </c>
      <c r="AX25" s="229">
        <f>COUNTIF(I25:AM26,"AP")</f>
        <v>0</v>
      </c>
      <c r="AY25" s="229">
        <f>COUNTIF(I25:AM25,"Ts")</f>
        <v>0</v>
      </c>
      <c r="AZ25" s="229">
        <f>COUNTIF(I25:AM26,"Baja")+COUNTIF(I25:AM26,"B a j a")</f>
        <v>0</v>
      </c>
      <c r="BA25" s="229">
        <f>COUNTIF(I25:AM26,"JuB")/2</f>
        <v>0</v>
      </c>
      <c r="BB25" s="229">
        <f>COUNTIF(I25:AM26,"JuC")</f>
        <v>0</v>
      </c>
      <c r="BC25" s="229">
        <f>COUNTIF(I25:AM26,"Perm")</f>
        <v>0</v>
      </c>
      <c r="BD25" s="229">
        <f>COUNTIF(I25:AM26,"Curso")</f>
        <v>0</v>
      </c>
      <c r="BE25" s="229">
        <f>COUNTIF(I25:AM26,"*Dc*")</f>
        <v>0</v>
      </c>
      <c r="BF25" s="229">
        <f>COUNTIF(I25:AM26,"Indisp")</f>
        <v>0</v>
      </c>
      <c r="BG25" s="229">
        <f>COUNTIF($I$51:$AM$53,C25)</f>
        <v>5</v>
      </c>
      <c r="BH25" s="229">
        <f>IF(L25=1,1,0)+IF(L25=2,1,0)+IF(L25=3,1,0)+IF(S25=1,1,0)+IF(S25=2,1,0)+IF(S25=3,1,0)+IF(Z25=1,1,0)+IF(Z25=2,1,0)+IF(Z25=3,1,0)+IF(AG25=1,1,0)+IF(AG25=2,1,0)+IF(AG25=3,1,0)</f>
        <v>2</v>
      </c>
    </row>
    <row r="26" ht="26.25" customHeight="1">
      <c r="A26" s="73"/>
      <c r="B26" s="74"/>
      <c r="C26" s="114"/>
      <c r="D26" s="230"/>
      <c r="E26" s="231"/>
      <c r="F26" s="232"/>
      <c r="G26" s="232"/>
      <c r="H26" s="233"/>
      <c r="I26" s="254">
        <v>2.0</v>
      </c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6"/>
      <c r="W26" s="236"/>
      <c r="X26" s="236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7"/>
      <c r="AN26" s="204"/>
      <c r="AO26" s="229"/>
      <c r="AP26" s="229"/>
      <c r="AQ26" s="229"/>
      <c r="AR26" s="229"/>
      <c r="AS26" s="229"/>
      <c r="AT26" s="229"/>
      <c r="AU26" s="229"/>
      <c r="AV26" s="246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</row>
    <row r="27" ht="26.25" customHeight="1">
      <c r="A27" s="238" t="s">
        <v>119</v>
      </c>
      <c r="B27" s="239" t="s">
        <v>72</v>
      </c>
      <c r="C27" s="240" t="s">
        <v>120</v>
      </c>
      <c r="D27" s="241" t="s">
        <v>12</v>
      </c>
      <c r="E27" s="242" t="s">
        <v>12</v>
      </c>
      <c r="F27" s="243">
        <v>3.0</v>
      </c>
      <c r="G27" s="242" t="s">
        <v>12</v>
      </c>
      <c r="H27" s="244" t="s">
        <v>12</v>
      </c>
      <c r="I27" s="253" t="s">
        <v>12</v>
      </c>
      <c r="J27" s="252" t="s">
        <v>12</v>
      </c>
      <c r="K27" s="258">
        <v>2.0</v>
      </c>
      <c r="L27" s="258">
        <v>2.0</v>
      </c>
      <c r="M27" s="226">
        <v>1.0</v>
      </c>
      <c r="N27" s="226">
        <v>1.0</v>
      </c>
      <c r="O27" s="226">
        <v>2.0</v>
      </c>
      <c r="P27" s="226" t="s">
        <v>114</v>
      </c>
      <c r="Q27" s="226" t="s">
        <v>12</v>
      </c>
      <c r="R27" s="226" t="s">
        <v>12</v>
      </c>
      <c r="S27" s="226" t="s">
        <v>12</v>
      </c>
      <c r="T27" s="226">
        <v>2.0</v>
      </c>
      <c r="U27" s="226">
        <v>2.0</v>
      </c>
      <c r="V27" s="226" t="s">
        <v>12</v>
      </c>
      <c r="W27" s="226">
        <v>1.0</v>
      </c>
      <c r="X27" s="226">
        <v>1.0</v>
      </c>
      <c r="Y27" s="226">
        <v>3.0</v>
      </c>
      <c r="Z27" s="226">
        <v>3.0</v>
      </c>
      <c r="AA27" s="226">
        <v>3.0</v>
      </c>
      <c r="AB27" s="226" t="s">
        <v>12</v>
      </c>
      <c r="AC27" s="226" t="s">
        <v>12</v>
      </c>
      <c r="AD27" s="226" t="s">
        <v>12</v>
      </c>
      <c r="AE27" s="226" t="s">
        <v>12</v>
      </c>
      <c r="AF27" s="226" t="s">
        <v>12</v>
      </c>
      <c r="AG27" s="226" t="s">
        <v>12</v>
      </c>
      <c r="AH27" s="226">
        <v>2.0</v>
      </c>
      <c r="AI27" s="226">
        <v>3.0</v>
      </c>
      <c r="AJ27" s="226">
        <v>3.0</v>
      </c>
      <c r="AK27" s="226" t="s">
        <v>12</v>
      </c>
      <c r="AL27" s="226" t="s">
        <v>12</v>
      </c>
      <c r="AM27" s="227" t="s">
        <v>12</v>
      </c>
      <c r="AN27" s="228"/>
      <c r="AO27" s="229">
        <f>AP27+AQ27+AR27+AX27+AY27+BA27+BB27+BC27+BD27+BE27+BF27</f>
        <v>16</v>
      </c>
      <c r="AP27" s="229">
        <f>COUNTIF(I27:AM27,"1")</f>
        <v>4</v>
      </c>
      <c r="AQ27" s="229">
        <f>COUNTIF(I27:AM27,"2")</f>
        <v>6</v>
      </c>
      <c r="AR27" s="229">
        <f>COUNTIF(I27:AM27,"3")</f>
        <v>5</v>
      </c>
      <c r="AS27" s="229">
        <f>COUNTIF(I27:AM27,"D")</f>
        <v>15</v>
      </c>
      <c r="AT27" s="229">
        <f>IF(K27=1,0.5,0)+IF(K27=2,0.5,0)+IF(K27=3,0.5,0)+IF(L27=1,0.5,0)+IF(L27=2,0.5,0)+IF(L27=3,0.5,0)+IF(R27=1,0.5,0)+IF(R27=2,0.5,0)+IF(R27=3,0.5,0)+IF(S27=1,0.5,0)+IF(S27=2,0.5,0)+IF(S27=3,0.5,0)+IF(Y27=1,0.5,0)+IF(Y27=2,0.5,0)+IF(Y27=3,0.5,0)+IF(Z27=1,0.5,0)+IF(Z27=2,0.5,0)+IF(Z27=3,0.5,0)+IF(AF27=1,0.5,0)+IF(AF27=2,0.5,0)+IF(AF27=3,0.5,0)+IF(AG27=1,0.5,0)+IF(AG27=2,0.5,0)+IF(AG27=3,0.5,0)</f>
        <v>2</v>
      </c>
      <c r="AU27" s="229">
        <f>IF(I27=1,1,0)+IF(I27=2,1,0)+IF(I27=3,1,0)+IF(N27=1,1,0)+IF(N27=2,1,0)+IF(N27=3,1,0)</f>
        <v>1</v>
      </c>
      <c r="AV27" s="246">
        <f>(AP27*8)+(AQ27*8)+(AR27*9.5*1.25)+(AX27*7.5)+(AY27*7.5)+(BA27*8)+(BB27*7.5)+(BC27*7.5)+(BD27*7.5)+(BF27*7.5)</f>
        <v>139.375</v>
      </c>
      <c r="AW27" s="229">
        <f>COUNTIF(I27:AM28,"Vacac")+COUNTIF(I27:AM28,"V a c a c")</f>
        <v>0</v>
      </c>
      <c r="AX27" s="229">
        <f>COUNTIF(I27:AM28,"AP")</f>
        <v>0</v>
      </c>
      <c r="AY27" s="229">
        <f>COUNTIF(I27:AM27,"Ts")</f>
        <v>0</v>
      </c>
      <c r="AZ27" s="229">
        <f>COUNTIF(I27:AM28,"Baja")+COUNTIF(I27:AM28,"B a j a")</f>
        <v>0</v>
      </c>
      <c r="BA27" s="229">
        <f>COUNTIF(I27:AM28,"JuB")/2</f>
        <v>0</v>
      </c>
      <c r="BB27" s="229">
        <f>COUNTIF(I27:AM28,"JuC")</f>
        <v>0</v>
      </c>
      <c r="BC27" s="229">
        <f>COUNTIF(I27:AM28,"Perm")</f>
        <v>0</v>
      </c>
      <c r="BD27" s="229">
        <f>COUNTIF(I27:AM28,"Curso")</f>
        <v>0</v>
      </c>
      <c r="BE27" s="229">
        <f>COUNTIF(I27:AM28,"*Dc*")</f>
        <v>1</v>
      </c>
      <c r="BF27" s="229">
        <f>COUNTIF(I27:AM28,"Indisp")</f>
        <v>0</v>
      </c>
      <c r="BG27" s="229">
        <f>COUNTIF($I$51:$AM$53,C27)</f>
        <v>2</v>
      </c>
      <c r="BH27" s="229">
        <f>IF(L27=1,1,0)+IF(L27=2,1,0)+IF(L27=3,1,0)+IF(S27=1,1,0)+IF(S27=2,1,0)+IF(S27=3,1,0)+IF(Z27=1,1,0)+IF(Z27=2,1,0)+IF(Z27=3,1,0)+IF(AG27=1,1,0)+IF(AG27=2,1,0)+IF(AG27=3,1,0)</f>
        <v>2</v>
      </c>
    </row>
    <row r="28" ht="26.25" customHeight="1">
      <c r="A28" s="73"/>
      <c r="B28" s="74"/>
      <c r="C28" s="114"/>
      <c r="D28" s="230"/>
      <c r="E28" s="231"/>
      <c r="F28" s="232"/>
      <c r="G28" s="232"/>
      <c r="H28" s="233"/>
      <c r="I28" s="254">
        <v>3.0</v>
      </c>
      <c r="J28" s="251">
        <v>3.0</v>
      </c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6"/>
      <c r="W28" s="236"/>
      <c r="X28" s="236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7"/>
      <c r="AN28" s="204"/>
      <c r="AO28" s="229"/>
      <c r="AP28" s="229"/>
      <c r="AQ28" s="229"/>
      <c r="AR28" s="229"/>
      <c r="AS28" s="229"/>
      <c r="AT28" s="229"/>
      <c r="AU28" s="229"/>
      <c r="AV28" s="246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</row>
    <row r="29" ht="26.25" customHeight="1">
      <c r="A29" s="221" t="s">
        <v>121</v>
      </c>
      <c r="B29" s="222" t="s">
        <v>72</v>
      </c>
      <c r="C29" s="223" t="s">
        <v>122</v>
      </c>
      <c r="D29" s="241" t="s">
        <v>12</v>
      </c>
      <c r="E29" s="242" t="s">
        <v>12</v>
      </c>
      <c r="F29" s="243" t="s">
        <v>12</v>
      </c>
      <c r="G29" s="242">
        <v>1.0</v>
      </c>
      <c r="H29" s="244">
        <v>1.0</v>
      </c>
      <c r="I29" s="245">
        <v>1.0</v>
      </c>
      <c r="J29" s="226">
        <v>1.0</v>
      </c>
      <c r="K29" s="226">
        <v>3.0</v>
      </c>
      <c r="L29" s="226">
        <v>3.0</v>
      </c>
      <c r="M29" s="226">
        <v>3.0</v>
      </c>
      <c r="N29" s="226">
        <v>3.0</v>
      </c>
      <c r="O29" s="226" t="s">
        <v>12</v>
      </c>
      <c r="P29" s="226" t="s">
        <v>12</v>
      </c>
      <c r="Q29" s="226" t="s">
        <v>12</v>
      </c>
      <c r="R29" s="226" t="s">
        <v>12</v>
      </c>
      <c r="S29" s="226" t="s">
        <v>12</v>
      </c>
      <c r="T29" s="226" t="s">
        <v>12</v>
      </c>
      <c r="U29" s="226" t="s">
        <v>114</v>
      </c>
      <c r="V29" s="226" t="s">
        <v>113</v>
      </c>
      <c r="W29" s="226" t="s">
        <v>113</v>
      </c>
      <c r="X29" s="226" t="s">
        <v>12</v>
      </c>
      <c r="Y29" s="226" t="s">
        <v>12</v>
      </c>
      <c r="Z29" s="226" t="s">
        <v>12</v>
      </c>
      <c r="AA29" s="226" t="s">
        <v>12</v>
      </c>
      <c r="AB29" s="252">
        <v>2.0</v>
      </c>
      <c r="AC29" s="226">
        <v>3.0</v>
      </c>
      <c r="AD29" s="226" t="s">
        <v>12</v>
      </c>
      <c r="AE29" s="226">
        <v>1.0</v>
      </c>
      <c r="AF29" s="226">
        <v>1.0</v>
      </c>
      <c r="AG29" s="226">
        <v>1.0</v>
      </c>
      <c r="AH29" s="226" t="s">
        <v>12</v>
      </c>
      <c r="AI29" s="226" t="s">
        <v>12</v>
      </c>
      <c r="AJ29" s="226" t="s">
        <v>12</v>
      </c>
      <c r="AK29" s="226" t="s">
        <v>12</v>
      </c>
      <c r="AL29" s="226">
        <v>2.0</v>
      </c>
      <c r="AM29" s="227">
        <v>2.0</v>
      </c>
      <c r="AN29" s="228"/>
      <c r="AO29" s="229">
        <f>AP29+AQ29+AR29+AX29+AY29+BA29+BB29+BC29+BD29+BE29+BF29</f>
        <v>16</v>
      </c>
      <c r="AP29" s="229">
        <f>COUNTIF(I29:AM29,"1")</f>
        <v>5</v>
      </c>
      <c r="AQ29" s="229">
        <f>COUNTIF(I29:AM29,"2")</f>
        <v>3</v>
      </c>
      <c r="AR29" s="229">
        <f>COUNTIF(I29:AM29,"3")</f>
        <v>5</v>
      </c>
      <c r="AS29" s="229">
        <f>COUNTIF(I29:AM29,"D")</f>
        <v>15</v>
      </c>
      <c r="AT29" s="229">
        <f>IF(K29=1,0.5,0)+IF(K29=2,0.5,0)+IF(K29=3,0.5,0)+IF(L29=1,0.5,0)+IF(L29=2,0.5,0)+IF(L29=3,0.5,0)+IF(R29=1,0.5,0)+IF(R29=2,0.5,0)+IF(R29=3,0.5,0)+IF(S29=1,0.5,0)+IF(S29=2,0.5,0)+IF(S29=3,0.5,0)+IF(Y29=1,0.5,0)+IF(Y29=2,0.5,0)+IF(Y29=3,0.5,0)+IF(Z29=1,0.5,0)+IF(Z29=2,0.5,0)+IF(Z29=3,0.5,0)+IF(AF29=1,0.5,0)+IF(AF29=2,0.5,0)+IF(AF29=3,0.5,0)+IF(AG29=1,0.5,0)+IF(AG29=2,0.5,0)+IF(AG29=3,0.5,0)</f>
        <v>2</v>
      </c>
      <c r="AU29" s="229">
        <f>IF(I29=1,1,0)+IF(I29=2,1,0)+IF(I29=3,1,0)+IF(N29=1,1,0)+IF(N29=2,1,0)+IF(N29=3,1,0)</f>
        <v>2</v>
      </c>
      <c r="AV29" s="246">
        <f>(AP29*8)+(AQ29*8)+(AR29*9.5*1.25)+(AX29*7.5)+(AY29*7.5)+(BA29*8)+(BB29*7.5)+(BC29*7.5)+(BD29*7.5)+(BF29*7.5)</f>
        <v>123.375</v>
      </c>
      <c r="AW29" s="229">
        <f>COUNTIF(I29:AM30,"Vacac")+COUNTIF(I29:AM30,"V a c a c")</f>
        <v>0</v>
      </c>
      <c r="AX29" s="229">
        <f>COUNTIF(I29:AM30,"AP")</f>
        <v>0</v>
      </c>
      <c r="AY29" s="229">
        <f>COUNTIF(I29:AM29,"Ts")</f>
        <v>0</v>
      </c>
      <c r="AZ29" s="229">
        <f>COUNTIF(I29:AM30,"Baja")+COUNTIF(I29:AM30,"B a j a")</f>
        <v>0</v>
      </c>
      <c r="BA29" s="229">
        <f>COUNTIF(I29:AM30,"JuB")/2</f>
        <v>0</v>
      </c>
      <c r="BB29" s="229">
        <f>COUNTIF(I29:AM30,"JuC")</f>
        <v>0</v>
      </c>
      <c r="BC29" s="229">
        <f>COUNTIF(I29:AM30,"Perm")</f>
        <v>0</v>
      </c>
      <c r="BD29" s="229">
        <f>COUNTIF(I29:AM30,"Curso")</f>
        <v>0</v>
      </c>
      <c r="BE29" s="229">
        <f>COUNTIF(I29:AM30,"*Dc*")</f>
        <v>3</v>
      </c>
      <c r="BF29" s="229">
        <f>COUNTIF(I29:AM30,"Indisp")</f>
        <v>0</v>
      </c>
      <c r="BG29" s="229">
        <f>COUNTIF($I$51:$AM$53,C29)</f>
        <v>1</v>
      </c>
      <c r="BH29" s="229">
        <f>IF(L29=1,1,0)+IF(L29=2,1,0)+IF(L29=3,1,0)+IF(S29=1,1,0)+IF(S29=2,1,0)+IF(S29=3,1,0)+IF(Z29=1,1,0)+IF(Z29=2,1,0)+IF(Z29=3,1,0)+IF(AG29=1,1,0)+IF(AG29=2,1,0)+IF(AG29=3,1,0)</f>
        <v>2</v>
      </c>
    </row>
    <row r="30" ht="26.25" customHeight="1">
      <c r="A30" s="73"/>
      <c r="B30" s="74"/>
      <c r="C30" s="114"/>
      <c r="D30" s="230"/>
      <c r="E30" s="231"/>
      <c r="F30" s="232"/>
      <c r="G30" s="232"/>
      <c r="H30" s="233"/>
      <c r="I30" s="234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6"/>
      <c r="W30" s="236"/>
      <c r="X30" s="236"/>
      <c r="Y30" s="235"/>
      <c r="Z30" s="235"/>
      <c r="AA30" s="235"/>
      <c r="AB30" s="251">
        <v>1.0</v>
      </c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7"/>
      <c r="AN30" s="204"/>
      <c r="AO30" s="229"/>
      <c r="AP30" s="229"/>
      <c r="AQ30" s="229"/>
      <c r="AR30" s="229"/>
      <c r="AS30" s="229"/>
      <c r="AT30" s="229"/>
      <c r="AU30" s="229"/>
      <c r="AV30" s="246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</row>
    <row r="31" ht="26.25" customHeight="1">
      <c r="A31" s="238" t="s">
        <v>81</v>
      </c>
      <c r="B31" s="259" t="s">
        <v>72</v>
      </c>
      <c r="C31" s="240" t="s">
        <v>31</v>
      </c>
      <c r="D31" s="241">
        <v>2.0</v>
      </c>
      <c r="E31" s="242">
        <v>2.0</v>
      </c>
      <c r="F31" s="243">
        <v>2.0</v>
      </c>
      <c r="G31" s="242" t="s">
        <v>12</v>
      </c>
      <c r="H31" s="244" t="s">
        <v>12</v>
      </c>
      <c r="I31" s="245" t="s">
        <v>12</v>
      </c>
      <c r="J31" s="226" t="s">
        <v>12</v>
      </c>
      <c r="K31" s="258">
        <v>1.0</v>
      </c>
      <c r="L31" s="258">
        <v>1.0</v>
      </c>
      <c r="M31" s="226">
        <v>2.0</v>
      </c>
      <c r="N31" s="226">
        <v>2.0</v>
      </c>
      <c r="O31" s="226">
        <v>3.0</v>
      </c>
      <c r="P31" s="226" t="s">
        <v>12</v>
      </c>
      <c r="Q31" s="226" t="s">
        <v>12</v>
      </c>
      <c r="R31" s="226" t="s">
        <v>12</v>
      </c>
      <c r="S31" s="226" t="s">
        <v>12</v>
      </c>
      <c r="T31" s="252">
        <v>1.0</v>
      </c>
      <c r="U31" s="252">
        <v>1.0</v>
      </c>
      <c r="V31" s="226">
        <v>3.0</v>
      </c>
      <c r="W31" s="226" t="s">
        <v>12</v>
      </c>
      <c r="X31" s="226" t="s">
        <v>12</v>
      </c>
      <c r="Y31" s="226" t="s">
        <v>12</v>
      </c>
      <c r="Z31" s="226" t="s">
        <v>12</v>
      </c>
      <c r="AA31" s="226" t="s">
        <v>12</v>
      </c>
      <c r="AB31" s="226" t="s">
        <v>12</v>
      </c>
      <c r="AC31" s="226">
        <v>2.0</v>
      </c>
      <c r="AD31" s="226">
        <v>3.0</v>
      </c>
      <c r="AE31" s="226">
        <v>3.0</v>
      </c>
      <c r="AF31" s="226">
        <v>3.0</v>
      </c>
      <c r="AG31" s="226" t="s">
        <v>12</v>
      </c>
      <c r="AH31" s="226" t="s">
        <v>12</v>
      </c>
      <c r="AI31" s="226" t="s">
        <v>12</v>
      </c>
      <c r="AJ31" s="226" t="s">
        <v>114</v>
      </c>
      <c r="AK31" s="226">
        <v>1.0</v>
      </c>
      <c r="AL31" s="226">
        <v>1.0</v>
      </c>
      <c r="AM31" s="227">
        <v>1.0</v>
      </c>
      <c r="AN31" s="204"/>
      <c r="AO31" s="229">
        <f>AP31+AQ31+AR31+AX31+AY31+BA31+BB31+BC31+BD31+BE31+BF31</f>
        <v>17</v>
      </c>
      <c r="AP31" s="229">
        <f>COUNTIF(I31:AM31,"1")</f>
        <v>7</v>
      </c>
      <c r="AQ31" s="229">
        <f>COUNTIF(I31:AM31,"2")</f>
        <v>3</v>
      </c>
      <c r="AR31" s="229">
        <f>COUNTIF(I31:AM31,"3")</f>
        <v>5</v>
      </c>
      <c r="AS31" s="229">
        <f>COUNTIF(I31:AM31,"D")</f>
        <v>15</v>
      </c>
      <c r="AT31" s="229">
        <f>IF(K31=1,0.5,0)+IF(K31=2,0.5,0)+IF(K31=3,0.5,0)+IF(L31=1,0.5,0)+IF(L31=2,0.5,0)+IF(L31=3,0.5,0)+IF(R31=1,0.5,0)+IF(R31=2,0.5,0)+IF(R31=3,0.5,0)+IF(S31=1,0.5,0)+IF(S31=2,0.5,0)+IF(S31=3,0.5,0)+IF(Y31=1,0.5,0)+IF(Y31=2,0.5,0)+IF(Y31=3,0.5,0)+IF(Z31=1,0.5,0)+IF(Z31=2,0.5,0)+IF(Z31=3,0.5,0)+IF(AF31=1,0.5,0)+IF(AF31=2,0.5,0)+IF(AF31=3,0.5,0)+IF(AG31=1,0.5,0)+IF(AG31=2,0.5,0)+IF(AG31=3,0.5,0)+0.5</f>
        <v>2</v>
      </c>
      <c r="AU31" s="229">
        <f>IF(I31=1,1,0)+IF(I31=2,1,0)+IF(I31=3,1,0)+IF(N31=1,1,0)+IF(N31=2,1,0)+IF(N31=3,1,0)</f>
        <v>1</v>
      </c>
      <c r="AV31" s="246">
        <f>(AP31*8)+(AQ31*8)+(AR31*9.5*1.25)+(AX31*7.5)+(AY31*7.5)+(BA31*8)+(BB31*7.5)+(BC31*7.5)+(BD31*7.5)+(BF31*7.5)</f>
        <v>146.875</v>
      </c>
      <c r="AW31" s="229">
        <f>COUNTIF(I31:AM32,"Vacac")+COUNTIF(I31:AM32,"V a c a c")</f>
        <v>0</v>
      </c>
      <c r="AX31" s="229">
        <f>COUNTIF(I31:AM32,"AP")</f>
        <v>0</v>
      </c>
      <c r="AY31" s="229">
        <f>COUNTIF(I31:AM31,"Ts")</f>
        <v>0</v>
      </c>
      <c r="AZ31" s="229">
        <f>COUNTIF(I31:AM32,"Baja")+COUNTIF(I31:AM32,"B a j a")</f>
        <v>0</v>
      </c>
      <c r="BA31" s="229">
        <f>COUNTIF(I31:AM32,"JuB")/2</f>
        <v>0</v>
      </c>
      <c r="BB31" s="229">
        <f>COUNTIF(I31:AM32,"JuC")</f>
        <v>0</v>
      </c>
      <c r="BC31" s="229">
        <f>COUNTIF(I31:AM32,"Perm")</f>
        <v>1</v>
      </c>
      <c r="BD31" s="229">
        <f>COUNTIF(I31:AM32,"Curso")</f>
        <v>0</v>
      </c>
      <c r="BE31" s="229">
        <f>COUNTIF(I31:AM32,"*Dc*")</f>
        <v>1</v>
      </c>
      <c r="BF31" s="229">
        <f>COUNTIF(I31:AM32,"Indisp")</f>
        <v>0</v>
      </c>
      <c r="BG31" s="229">
        <f>COUNTIF($I$51:$AM$53,C31)</f>
        <v>3</v>
      </c>
      <c r="BH31" s="229">
        <f>IF(L31=1,1,0)+IF(L31=2,1,0)+IF(L31=3,1,0)+IF(S31=1,1,0)+IF(S31=2,1,0)+IF(S31=3,1,0)+IF(Z31=1,1,0)+IF(Z31=2,1,0)+IF(Z31=3,1,0)+IF(AG31=1,1,0)+IF(AG31=2,1,0)+IF(AG31=3,1,0)</f>
        <v>1</v>
      </c>
    </row>
    <row r="32" ht="26.25" customHeight="1">
      <c r="A32" s="73"/>
      <c r="B32" s="74"/>
      <c r="C32" s="114"/>
      <c r="D32" s="230"/>
      <c r="E32" s="231"/>
      <c r="F32" s="232"/>
      <c r="G32" s="232"/>
      <c r="H32" s="233"/>
      <c r="I32" s="234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60" t="s">
        <v>116</v>
      </c>
      <c r="U32" s="250"/>
      <c r="V32" s="236"/>
      <c r="W32" s="236"/>
      <c r="X32" s="236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7"/>
      <c r="AN32" s="204"/>
      <c r="AO32" s="229"/>
      <c r="AP32" s="229"/>
      <c r="AQ32" s="229"/>
      <c r="AR32" s="229"/>
      <c r="AS32" s="229"/>
      <c r="AT32" s="229"/>
      <c r="AU32" s="229"/>
      <c r="AV32" s="246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</row>
    <row r="33" ht="26.25" customHeight="1">
      <c r="A33" s="221" t="s">
        <v>82</v>
      </c>
      <c r="B33" s="261" t="s">
        <v>72</v>
      </c>
      <c r="C33" s="223" t="s">
        <v>33</v>
      </c>
      <c r="D33" s="224" t="s">
        <v>123</v>
      </c>
      <c r="E33" s="10"/>
      <c r="F33" s="10"/>
      <c r="G33" s="10"/>
      <c r="H33" s="13"/>
      <c r="I33" s="262" t="s">
        <v>123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3"/>
      <c r="AN33" s="204"/>
      <c r="AO33" s="229">
        <f>AP33+AQ33+AR33+AX33+AY33+BA33+BB33+BC33+BD33+BE33+BF33</f>
        <v>0</v>
      </c>
      <c r="AP33" s="229">
        <f>COUNTIF(I33:AM33,"1")</f>
        <v>0</v>
      </c>
      <c r="AQ33" s="229">
        <f>COUNTIF(I33:AM33,"2")</f>
        <v>0</v>
      </c>
      <c r="AR33" s="229">
        <f>COUNTIF(I33:AM33,"3")</f>
        <v>0</v>
      </c>
      <c r="AS33" s="229">
        <f>COUNTIF(I33:AM33,"D")</f>
        <v>0</v>
      </c>
      <c r="AT33" s="229">
        <f>IF(K33=1,0.5,0)+IF(K33=2,0.5,0)+IF(K33=3,0.5,0)+IF(L33=1,0.5,0)+IF(L33=2,0.5,0)+IF(L33=3,0.5,0)+IF(R33=1,0.5,0)+IF(R33=2,0.5,0)+IF(R33=3,0.5,0)+IF(S33=1,0.5,0)+IF(S33=2,0.5,0)+IF(S33=3,0.5,0)+IF(Y33=1,0.5,0)+IF(Y33=2,0.5,0)+IF(Y33=3,0.5,0)+IF(Z33=1,0.5,0)+IF(Z33=2,0.5,0)+IF(Z33=3,0.5,0)+IF(AF33=1,0.5,0)+IF(AF33=2,0.5,0)+IF(AF33=3,0.5,0)+IF(AG33=1,0.5,0)+IF(AG33=2,0.5,0)+IF(AG33=3,0.5,0)</f>
        <v>0</v>
      </c>
      <c r="AU33" s="229">
        <f>IF(I33=1,1,0)+IF(I33=2,1,0)+IF(I33=3,1,0)+IF(N33=1,1,0)+IF(N33=2,1,0)+IF(N33=3,1,0)</f>
        <v>0</v>
      </c>
      <c r="AV33" s="263">
        <f>(AP33*8)+(AQ33*8)+(AR33*9.5*1.25)+(AX33*7.5)+(AY33*7.5)+(BA33*8)+(BB33*7.5)+(BC33*7.5)+(BD33*7.5)+(BE33*7.5)+(BF33*7.5)+((AZ33-5)*7.5)+((AZ33-13)*9)</f>
        <v>142.5</v>
      </c>
      <c r="AW33" s="229">
        <f>COUNTIF(I33:AM34,"Vacac")+COUNTIF(I33:AM34,"V a c a c")</f>
        <v>0</v>
      </c>
      <c r="AX33" s="229">
        <f>COUNTIF(I33:AM34,"AP")</f>
        <v>0</v>
      </c>
      <c r="AY33" s="229">
        <f>COUNTIF(I33:AM33,"Ts")</f>
        <v>0</v>
      </c>
      <c r="AZ33" s="229">
        <v>18.0</v>
      </c>
      <c r="BA33" s="229">
        <f>COUNTIF(I33:AM34,"JuB")/2</f>
        <v>0</v>
      </c>
      <c r="BB33" s="229">
        <f>COUNTIF(I33:AM34,"JuC")</f>
        <v>0</v>
      </c>
      <c r="BC33" s="229">
        <f>COUNTIF(I33:AM34,"Perm")</f>
        <v>0</v>
      </c>
      <c r="BD33" s="229">
        <f>COUNTIF(I33:AM34,"Curso")</f>
        <v>0</v>
      </c>
      <c r="BE33" s="229">
        <f>COUNTIF(I33:AM34,"*Dc*")</f>
        <v>0</v>
      </c>
      <c r="BF33" s="229">
        <f>COUNTIF(I33:AM34,"Indisp")</f>
        <v>0</v>
      </c>
      <c r="BG33" s="229">
        <f>COUNTIF($I$51:$AM$53,C33)</f>
        <v>0</v>
      </c>
      <c r="BH33" s="229">
        <f>IF(L33=1,1,0)+IF(L33=2,1,0)+IF(L33=3,1,0)+IF(S33=1,1,0)+IF(S33=2,1,0)+IF(S33=3,1,0)+IF(Z33=1,1,0)+IF(Z33=2,1,0)+IF(Z33=3,1,0)+IF(AG33=1,1,0)+IF(AG33=2,1,0)+IF(AG33=3,1,0)</f>
        <v>0</v>
      </c>
    </row>
    <row r="34" ht="26.25" customHeight="1">
      <c r="A34" s="73"/>
      <c r="B34" s="74"/>
      <c r="C34" s="114"/>
      <c r="D34" s="230"/>
      <c r="E34" s="231"/>
      <c r="F34" s="232"/>
      <c r="G34" s="232"/>
      <c r="H34" s="233"/>
      <c r="I34" s="234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36"/>
      <c r="X34" s="236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7"/>
      <c r="AN34" s="204"/>
      <c r="AO34" s="229"/>
      <c r="AP34" s="229"/>
      <c r="AQ34" s="229"/>
      <c r="AR34" s="229"/>
      <c r="AS34" s="229"/>
      <c r="AT34" s="229"/>
      <c r="AU34" s="229"/>
      <c r="AV34" s="246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</row>
    <row r="35" ht="26.25" hidden="1" customHeight="1">
      <c r="A35" s="238"/>
      <c r="B35" s="259"/>
      <c r="C35" s="264"/>
      <c r="D35" s="241"/>
      <c r="E35" s="242"/>
      <c r="F35" s="243"/>
      <c r="G35" s="242"/>
      <c r="H35" s="244"/>
      <c r="I35" s="245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7"/>
      <c r="AN35" s="204"/>
      <c r="AO35" s="229">
        <f>AP35+AQ35+AR35+AX35+AY35+BA35+BB35+BC35+BD35+BE35+BF35</f>
        <v>0</v>
      </c>
      <c r="AP35" s="229">
        <f>COUNTIF(I35:AM35,"1")</f>
        <v>0</v>
      </c>
      <c r="AQ35" s="229">
        <f>COUNTIF(I35:AM35,"2")</f>
        <v>0</v>
      </c>
      <c r="AR35" s="229">
        <f>COUNTIF(I35:AM35,"3")</f>
        <v>0</v>
      </c>
      <c r="AS35" s="229">
        <f>COUNTIF(I35:AM35,"D")</f>
        <v>0</v>
      </c>
      <c r="AT35" s="229">
        <f>IF(K35=1,0.5,0)+IF(K35=2,0.5,0)+IF(K35=3,0.5,0)+IF(L35=1,0.5,0)+IF(L35=2,0.5,0)+IF(L35=3,0.5,0)+IF(R35=1,0.5,0)+IF(R35=2,0.5,0)+IF(R35=3,0.5,0)+IF(S35=1,0.5,0)+IF(S35=2,0.5,0)+IF(S35=3,0.5,0)+IF(Y35=1,0.5,0)+IF(Y35=2,0.5,0)+IF(Y35=3,0.5,0)+IF(Z35=1,0.5,0)+IF(Z35=2,0.5,0)+IF(Z35=3,0.5,0)+IF(AF35=1,0.5,0)+IF(AF35=2,0.5,0)+IF(AF35=3,0.5,0)+IF(AG35=1,0.5,0)+IF(AG35=2,0.5,0)+IF(AG35=3,0.5,0)+IF(AM35=1,0.5,0)+IF(AM35=2,0.5,0)+IF(AM35=3,0.5,0)</f>
        <v>0</v>
      </c>
      <c r="AU35" s="229">
        <f>IF(I35=1,1,0)+IF(I35=2,1,0)+IF(I35=3,1,0)+IF(N35=1,1,0)+IF(N35=2,1,0)+IF(N35=3,1,0)</f>
        <v>0</v>
      </c>
      <c r="AV35" s="246">
        <f>(AP35*8)+(AQ35*8)+(AR35*9.5*1.25)+(AX35*7.5)+(AY35*7.5)+(BA35*8)+(BB35*7.5)+(BC35*7.5)+(BD35*7.5)+(BE35*7.5)+(BF35*7.5)</f>
        <v>0</v>
      </c>
      <c r="AW35" s="229">
        <f>COUNTIF(I35:AM36,"Vacac")+COUNTIF(I35:AM36,"V a c a c")</f>
        <v>0</v>
      </c>
      <c r="AX35" s="229">
        <f>COUNTIF(I35:AM36,"AP")</f>
        <v>0</v>
      </c>
      <c r="AY35" s="229">
        <f>COUNTIF(I35:AM35,"Ts")</f>
        <v>0</v>
      </c>
      <c r="AZ35" s="229">
        <f>COUNTIF(I35:AM36,"Baja")+COUNTIF(I35:AM36,"B a j a")</f>
        <v>0</v>
      </c>
      <c r="BA35" s="229">
        <f>COUNTIF(I35:AM36,"JuB")/2</f>
        <v>0</v>
      </c>
      <c r="BB35" s="229">
        <f>COUNTIF(I35:AM36,"JuC")</f>
        <v>0</v>
      </c>
      <c r="BC35" s="229">
        <f>COUNTIF(I35:AM36,"Perm")</f>
        <v>0</v>
      </c>
      <c r="BD35" s="229">
        <f>COUNTIF(I35:AM36,"Curso")</f>
        <v>0</v>
      </c>
      <c r="BE35" s="229">
        <f>COUNTIF(I35:AM36,"*Dc*")</f>
        <v>0</v>
      </c>
      <c r="BF35" s="229">
        <f>COUNTIF(I35:AM36,"Indisp")</f>
        <v>0</v>
      </c>
      <c r="BG35" s="229">
        <f>COUNTIF($I$51:$AM$53,C35)</f>
        <v>0</v>
      </c>
    </row>
    <row r="36" ht="26.25" hidden="1" customHeight="1">
      <c r="A36" s="73"/>
      <c r="B36" s="74"/>
      <c r="C36" s="114"/>
      <c r="D36" s="230"/>
      <c r="E36" s="231"/>
      <c r="F36" s="232"/>
      <c r="G36" s="232"/>
      <c r="H36" s="233"/>
      <c r="I36" s="234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6"/>
      <c r="W36" s="236"/>
      <c r="X36" s="236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7"/>
      <c r="AN36" s="204"/>
      <c r="AO36" s="229"/>
      <c r="AP36" s="229"/>
      <c r="AQ36" s="229"/>
      <c r="AR36" s="229"/>
      <c r="AS36" s="229"/>
      <c r="AT36" s="229"/>
      <c r="AU36" s="229"/>
      <c r="AV36" s="246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</row>
    <row r="37" ht="26.25" hidden="1" customHeight="1">
      <c r="A37" s="221"/>
      <c r="B37" s="261"/>
      <c r="C37" s="265"/>
      <c r="D37" s="241"/>
      <c r="E37" s="242"/>
      <c r="F37" s="243"/>
      <c r="G37" s="242"/>
      <c r="H37" s="244"/>
      <c r="I37" s="245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7"/>
      <c r="AN37" s="204"/>
      <c r="AO37" s="229">
        <f>AP37+AQ37+AR37+AX37+AY37+BA37+BB37+BC37+BD37+BE37+BF37</f>
        <v>0</v>
      </c>
      <c r="AP37" s="229">
        <f>COUNTIF(I37:AM37,"1")</f>
        <v>0</v>
      </c>
      <c r="AQ37" s="229">
        <f>COUNTIF(I37:AM37,"2")</f>
        <v>0</v>
      </c>
      <c r="AR37" s="229">
        <f>COUNTIF(I37:AM37,"3")</f>
        <v>0</v>
      </c>
      <c r="AS37" s="229">
        <f>COUNTIF(I37:AM37,"D")</f>
        <v>0</v>
      </c>
      <c r="AT37" s="229">
        <f>IF(K37=1,0.5,0)+IF(K37=2,0.5,0)+IF(K37=3,0.5,0)+IF(L37=1,0.5,0)+IF(L37=2,0.5,0)+IF(L37=3,0.5,0)+IF(R37=1,0.5,0)+IF(R37=2,0.5,0)+IF(R37=3,0.5,0)+IF(S37=1,0.5,0)+IF(S37=2,0.5,0)+IF(S37=3,0.5,0)+IF(Y37=1,0.5,0)+IF(Y37=2,0.5,0)+IF(Y37=3,0.5,0)+IF(Z37=1,0.5,0)+IF(Z37=2,0.5,0)+IF(Z37=3,0.5,0)+IF(AF37=1,0.5,0)+IF(AF37=2,0.5,0)+IF(AF37=3,0.5,0)+IF(AG37=1,0.5,0)+IF(AG37=2,0.5,0)+IF(AG37=3,0.5,0)+IF(AM37=1,0.5,0)+IF(AM37=2,0.5,0)+IF(AM37=3,0.5,0)</f>
        <v>0</v>
      </c>
      <c r="AU37" s="229">
        <f>IF(I37=1,1,0)+IF(I37=2,1,0)+IF(I37=3,1,0)+IF(N37=1,1,0)+IF(N37=2,1,0)+IF(N37=3,1,0)</f>
        <v>0</v>
      </c>
      <c r="AV37" s="246">
        <f>(AP37*8)+(AQ37*8)+(AR37*9.5*1.25)+(AX37*7.5)+(AY37*7.5)+(BA37*8)+(BB37*7.5)+(BC37*7.5)+(BD37*7.5)+(BE37*7.5)+(BF37*7.5)</f>
        <v>0</v>
      </c>
      <c r="AW37" s="229">
        <f>COUNTIF(I37:AM38,"Vacac")+COUNTIF(I37:AM38,"V a c a c")</f>
        <v>0</v>
      </c>
      <c r="AX37" s="229">
        <f>COUNTIF(I37:AM38,"AP")</f>
        <v>0</v>
      </c>
      <c r="AY37" s="229">
        <f>COUNTIF(I37:AM37,"Ts")</f>
        <v>0</v>
      </c>
      <c r="AZ37" s="229">
        <f>COUNTIF(I37:AM38,"Baja")+COUNTIF(I37:AM38,"B a j a")</f>
        <v>0</v>
      </c>
      <c r="BA37" s="229">
        <f>COUNTIF(I37:AM38,"JuB")/2</f>
        <v>0</v>
      </c>
      <c r="BB37" s="229">
        <f>COUNTIF(I37:AM38,"JuC")</f>
        <v>0</v>
      </c>
      <c r="BC37" s="229">
        <f>COUNTIF(I37:AM38,"Perm")</f>
        <v>0</v>
      </c>
      <c r="BD37" s="229">
        <f>COUNTIF(I37:AM38,"Curso")</f>
        <v>0</v>
      </c>
      <c r="BE37" s="229">
        <f>COUNTIF(I37:AM38,"*Dc*")</f>
        <v>0</v>
      </c>
      <c r="BF37" s="229">
        <f>COUNTIF(I37:AM38,"Indisp")</f>
        <v>0</v>
      </c>
      <c r="BG37" s="229">
        <f>COUNTIF($I$51:$AM$53,C37)</f>
        <v>0</v>
      </c>
    </row>
    <row r="38" ht="26.25" hidden="1" customHeight="1">
      <c r="A38" s="73"/>
      <c r="B38" s="74"/>
      <c r="C38" s="114"/>
      <c r="D38" s="230"/>
      <c r="E38" s="231"/>
      <c r="F38" s="232"/>
      <c r="G38" s="232"/>
      <c r="H38" s="233"/>
      <c r="I38" s="234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6"/>
      <c r="W38" s="236"/>
      <c r="X38" s="236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7"/>
      <c r="AN38" s="204"/>
      <c r="AO38" s="229"/>
      <c r="AP38" s="229"/>
      <c r="AQ38" s="229"/>
      <c r="AR38" s="229"/>
      <c r="AS38" s="229"/>
      <c r="AT38" s="229"/>
      <c r="AU38" s="229"/>
      <c r="AV38" s="246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</row>
    <row r="39" ht="26.25" customHeight="1">
      <c r="A39" s="238" t="s">
        <v>85</v>
      </c>
      <c r="B39" s="239" t="s">
        <v>86</v>
      </c>
      <c r="C39" s="240" t="s">
        <v>34</v>
      </c>
      <c r="D39" s="241">
        <v>1.0</v>
      </c>
      <c r="E39" s="242">
        <v>1.0</v>
      </c>
      <c r="F39" s="243">
        <v>2.0</v>
      </c>
      <c r="G39" s="242" t="s">
        <v>12</v>
      </c>
      <c r="H39" s="244" t="s">
        <v>12</v>
      </c>
      <c r="I39" s="245" t="s">
        <v>12</v>
      </c>
      <c r="J39" s="226" t="s">
        <v>12</v>
      </c>
      <c r="K39" s="226" t="s">
        <v>12</v>
      </c>
      <c r="L39" s="226" t="s">
        <v>12</v>
      </c>
      <c r="M39" s="226" t="s">
        <v>12</v>
      </c>
      <c r="N39" s="226" t="s">
        <v>21</v>
      </c>
      <c r="O39" s="226">
        <v>2.0</v>
      </c>
      <c r="P39" s="226">
        <v>2.0</v>
      </c>
      <c r="Q39" s="226">
        <v>3.0</v>
      </c>
      <c r="R39" s="226">
        <v>3.0</v>
      </c>
      <c r="S39" s="226">
        <v>3.0</v>
      </c>
      <c r="T39" s="226">
        <v>3.0</v>
      </c>
      <c r="U39" s="226">
        <v>3.0</v>
      </c>
      <c r="V39" s="226" t="s">
        <v>12</v>
      </c>
      <c r="W39" s="226" t="s">
        <v>12</v>
      </c>
      <c r="X39" s="226">
        <v>1.0</v>
      </c>
      <c r="Y39" s="226">
        <v>1.0</v>
      </c>
      <c r="Z39" s="226">
        <v>1.0</v>
      </c>
      <c r="AA39" s="226">
        <v>2.0</v>
      </c>
      <c r="AB39" s="226" t="s">
        <v>21</v>
      </c>
      <c r="AC39" s="226" t="s">
        <v>12</v>
      </c>
      <c r="AD39" s="226" t="s">
        <v>12</v>
      </c>
      <c r="AE39" s="226" t="s">
        <v>12</v>
      </c>
      <c r="AF39" s="226" t="s">
        <v>12</v>
      </c>
      <c r="AG39" s="226" t="s">
        <v>12</v>
      </c>
      <c r="AH39" s="226">
        <v>1.0</v>
      </c>
      <c r="AI39" s="226">
        <v>1.0</v>
      </c>
      <c r="AJ39" s="226" t="s">
        <v>21</v>
      </c>
      <c r="AK39" s="226">
        <v>2.0</v>
      </c>
      <c r="AL39" s="226" t="s">
        <v>12</v>
      </c>
      <c r="AM39" s="227" t="s">
        <v>12</v>
      </c>
      <c r="AN39" s="228"/>
      <c r="AO39" s="229">
        <f>AP39+AQ39+AR39+AX39+AY39+BA39+BB39+BC39+BD39+BE39+BF39</f>
        <v>17</v>
      </c>
      <c r="AP39" s="229">
        <f>COUNTIF(I39:AM39,"1")</f>
        <v>5</v>
      </c>
      <c r="AQ39" s="229">
        <f>COUNTIF(I39:AM39,"2")</f>
        <v>4</v>
      </c>
      <c r="AR39" s="229">
        <f>COUNTIF(I39:AM39,"3")</f>
        <v>5</v>
      </c>
      <c r="AS39" s="229">
        <f>COUNTIF(I39:AM39,"D")</f>
        <v>14</v>
      </c>
      <c r="AT39" s="229">
        <f>IF(K39=1,0.5,0)+IF(K39=2,0.5,0)+IF(K39=3,0.5,0)+IF(L39=1,0.5,0)+IF(L39=2,0.5,0)+IF(L39=3,0.5,0)+IF(R39=1,0.5,0)+IF(R39=2,0.5,0)+IF(R39=3,0.5,0)+IF(S39=1,0.5,0)+IF(S39=2,0.5,0)+IF(S39=3,0.5,0)+IF(Y39=1,0.5,0)+IF(Y39=2,0.5,0)+IF(Y39=3,0.5,0)+IF(Z39=1,0.5,0)+IF(Z39=2,0.5,0)+IF(Z39=3,0.5,0)+IF(AF39=1,0.5,0)+IF(AF39=2,0.5,0)+IF(AF39=3,0.5,0)+IF(AG39=1,0.5,0)+IF(AG39=2,0.5,0)+IF(AG39=3,0.5,0)</f>
        <v>2</v>
      </c>
      <c r="AU39" s="229">
        <f>IF(I39=1,1,0)+IF(I39=2,1,0)+IF(I39=3,1,0)+IF(N39=1,1,0)+IF(N39=2,1,0)+IF(N39=3,1,0)</f>
        <v>0</v>
      </c>
      <c r="AV39" s="246">
        <f>(AP39*8)+(AQ39*8)+(AR39*9.5*1.25)+(AX39*7.5)+(AY39*7.5)+(BA39*8)+(BB39*7.5)+(BC39*7.5)+(BD39*7.5)+(BF39*7.5)</f>
        <v>153.875</v>
      </c>
      <c r="AW39" s="229">
        <f>COUNTIF(I39:AM40,"Vacac")+COUNTIF(I39:AM40,"V a c a c")</f>
        <v>0</v>
      </c>
      <c r="AX39" s="229">
        <f>COUNTIF(I39:AM40,"AP")</f>
        <v>0</v>
      </c>
      <c r="AY39" s="229">
        <f>COUNTIF(I39:AM39,"Ts")</f>
        <v>3</v>
      </c>
      <c r="AZ39" s="229">
        <f>COUNTIF(I39:AM40,"Baja")+COUNTIF(I39:AM40,"B a j a")</f>
        <v>0</v>
      </c>
      <c r="BA39" s="229">
        <f>COUNTIF(I39:AM40,"JuB")/2</f>
        <v>0</v>
      </c>
      <c r="BB39" s="229">
        <f>COUNTIF(I39:AM40,"JuC")</f>
        <v>0</v>
      </c>
      <c r="BC39" s="229">
        <f>COUNTIF(I39:AM40,"Perm")</f>
        <v>0</v>
      </c>
      <c r="BD39" s="229">
        <f>COUNTIF(I39:AM40,"Curso")</f>
        <v>0</v>
      </c>
      <c r="BE39" s="229">
        <f>COUNTIF(I39:AM40,"*Dc*")</f>
        <v>0</v>
      </c>
      <c r="BF39" s="229">
        <f>COUNTIF(I39:AM40,"Indisp")</f>
        <v>0</v>
      </c>
      <c r="BG39" s="229">
        <f>COUNTIF($I$51:$AM$53,C39)</f>
        <v>0</v>
      </c>
      <c r="BH39" s="229">
        <f>IF(L39=1,1,0)+IF(L39=2,1,0)+IF(L39=3,1,0)+IF(S39=1,1,0)+IF(S39=2,1,0)+IF(S39=3,1,0)+IF(Z39=1,1,0)+IF(Z39=2,1,0)+IF(Z39=3,1,0)+IF(AG39=1,1,0)+IF(AG39=2,1,0)+IF(AG39=3,1,0)</f>
        <v>2</v>
      </c>
    </row>
    <row r="40" ht="26.25" customHeight="1">
      <c r="A40" s="73"/>
      <c r="B40" s="74"/>
      <c r="C40" s="114"/>
      <c r="D40" s="230"/>
      <c r="E40" s="231"/>
      <c r="F40" s="232"/>
      <c r="G40" s="232"/>
      <c r="H40" s="233"/>
      <c r="I40" s="234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6"/>
      <c r="W40" s="236"/>
      <c r="X40" s="236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7"/>
      <c r="AN40" s="204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</row>
    <row r="41" ht="26.25" customHeight="1">
      <c r="A41" s="221" t="s">
        <v>87</v>
      </c>
      <c r="B41" s="222" t="s">
        <v>72</v>
      </c>
      <c r="C41" s="223" t="s">
        <v>88</v>
      </c>
      <c r="D41" s="241" t="s">
        <v>12</v>
      </c>
      <c r="E41" s="242" t="s">
        <v>12</v>
      </c>
      <c r="F41" s="243" t="s">
        <v>13</v>
      </c>
      <c r="G41" s="242" t="s">
        <v>13</v>
      </c>
      <c r="H41" s="244" t="s">
        <v>12</v>
      </c>
      <c r="I41" s="245" t="s">
        <v>12</v>
      </c>
      <c r="J41" s="226" t="s">
        <v>13</v>
      </c>
      <c r="K41" s="226" t="s">
        <v>12</v>
      </c>
      <c r="L41" s="226" t="s">
        <v>12</v>
      </c>
      <c r="M41" s="226" t="s">
        <v>13</v>
      </c>
      <c r="N41" s="226" t="s">
        <v>12</v>
      </c>
      <c r="O41" s="226" t="s">
        <v>13</v>
      </c>
      <c r="P41" s="226" t="s">
        <v>13</v>
      </c>
      <c r="Q41" s="226" t="s">
        <v>13</v>
      </c>
      <c r="R41" s="226" t="s">
        <v>12</v>
      </c>
      <c r="S41" s="226" t="s">
        <v>12</v>
      </c>
      <c r="T41" s="226" t="s">
        <v>13</v>
      </c>
      <c r="U41" s="226" t="s">
        <v>13</v>
      </c>
      <c r="V41" s="226" t="s">
        <v>13</v>
      </c>
      <c r="W41" s="226" t="s">
        <v>13</v>
      </c>
      <c r="X41" s="226" t="s">
        <v>13</v>
      </c>
      <c r="Y41" s="226" t="s">
        <v>12</v>
      </c>
      <c r="Z41" s="226" t="s">
        <v>12</v>
      </c>
      <c r="AA41" s="226" t="s">
        <v>13</v>
      </c>
      <c r="AB41" s="226" t="s">
        <v>13</v>
      </c>
      <c r="AC41" s="226" t="s">
        <v>13</v>
      </c>
      <c r="AD41" s="226" t="s">
        <v>13</v>
      </c>
      <c r="AE41" s="226" t="s">
        <v>13</v>
      </c>
      <c r="AF41" s="226" t="s">
        <v>12</v>
      </c>
      <c r="AG41" s="226" t="s">
        <v>12</v>
      </c>
      <c r="AH41" s="226" t="s">
        <v>13</v>
      </c>
      <c r="AI41" s="226" t="s">
        <v>13</v>
      </c>
      <c r="AJ41" s="226" t="s">
        <v>13</v>
      </c>
      <c r="AK41" s="226" t="s">
        <v>13</v>
      </c>
      <c r="AL41" s="226" t="s">
        <v>13</v>
      </c>
      <c r="AM41" s="227" t="s">
        <v>12</v>
      </c>
      <c r="AN41" s="228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H41" s="229"/>
    </row>
    <row r="42" ht="26.25" customHeight="1">
      <c r="A42" s="73"/>
      <c r="B42" s="74"/>
      <c r="C42" s="114"/>
      <c r="D42" s="230"/>
      <c r="E42" s="231"/>
      <c r="F42" s="232"/>
      <c r="G42" s="232"/>
      <c r="H42" s="233"/>
      <c r="I42" s="234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6"/>
      <c r="W42" s="236"/>
      <c r="X42" s="236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7"/>
      <c r="AN42" s="204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</row>
    <row r="43" ht="26.25" customHeight="1">
      <c r="A43" s="121"/>
      <c r="B43" s="124"/>
      <c r="C43" s="266"/>
      <c r="D43" s="105"/>
      <c r="E43" s="107"/>
      <c r="F43" s="107"/>
      <c r="G43" s="107"/>
      <c r="H43" s="267"/>
      <c r="I43" s="245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7"/>
      <c r="AN43" s="204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29"/>
      <c r="BG43" s="229"/>
    </row>
    <row r="44" ht="26.25" customHeight="1">
      <c r="A44" s="73"/>
      <c r="B44" s="74"/>
      <c r="C44" s="114"/>
      <c r="D44" s="268"/>
      <c r="E44" s="268"/>
      <c r="F44" s="268"/>
      <c r="G44" s="268"/>
      <c r="H44" s="269"/>
      <c r="I44" s="234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6"/>
      <c r="W44" s="236"/>
      <c r="X44" s="236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7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  <c r="BB44" s="204"/>
      <c r="BC44" s="204"/>
      <c r="BD44" s="204"/>
      <c r="BE44" s="204"/>
      <c r="BF44" s="199"/>
    </row>
    <row r="45" ht="15.75" customHeight="1">
      <c r="A45" s="204"/>
      <c r="B45" s="64"/>
      <c r="C45" s="64"/>
      <c r="D45" s="64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270" t="s">
        <v>124</v>
      </c>
      <c r="X45" s="199"/>
      <c r="Y45" s="199"/>
      <c r="Z45" s="199"/>
      <c r="AA45" s="199"/>
      <c r="AB45" s="199"/>
      <c r="AC45" s="199"/>
      <c r="AE45" s="270" t="s">
        <v>125</v>
      </c>
      <c r="AF45" s="199"/>
      <c r="AG45" s="199"/>
      <c r="AH45" s="199"/>
      <c r="AI45" s="199"/>
      <c r="AJ45" s="199"/>
      <c r="AK45" s="199"/>
      <c r="AL45" s="199"/>
      <c r="AM45" s="199"/>
      <c r="AN45" s="204"/>
      <c r="AO45" s="204"/>
      <c r="AP45" s="204"/>
      <c r="AQ45" s="204"/>
      <c r="AR45" s="204"/>
      <c r="AS45" s="204"/>
      <c r="AT45" s="204"/>
      <c r="AU45" s="204"/>
      <c r="AV45" s="204"/>
      <c r="AW45" s="204"/>
      <c r="AX45" s="204"/>
      <c r="AY45" s="204"/>
      <c r="AZ45" s="204"/>
      <c r="BA45" s="204"/>
      <c r="BB45" s="204"/>
      <c r="BC45" s="204"/>
      <c r="BD45" s="204"/>
      <c r="BE45" s="204"/>
      <c r="BF45" s="199"/>
    </row>
    <row r="46" ht="15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199"/>
    </row>
    <row r="47" ht="15.75" customHeight="1">
      <c r="A47" s="271" t="s">
        <v>96</v>
      </c>
      <c r="B47" s="272"/>
      <c r="C47" s="273" t="s">
        <v>126</v>
      </c>
      <c r="D47" s="199"/>
      <c r="E47" s="199"/>
      <c r="F47" s="199"/>
      <c r="G47" s="199"/>
      <c r="H47" s="199"/>
      <c r="I47" s="274">
        <f t="shared" ref="I47:AM47" si="1">COUNTIF(I5:I44,"*1*")+COUNTIF(I5:I44,"1")</f>
        <v>3</v>
      </c>
      <c r="J47" s="274">
        <f t="shared" si="1"/>
        <v>2</v>
      </c>
      <c r="K47" s="274">
        <f t="shared" si="1"/>
        <v>1</v>
      </c>
      <c r="L47" s="274">
        <f t="shared" si="1"/>
        <v>1</v>
      </c>
      <c r="M47" s="274">
        <f t="shared" si="1"/>
        <v>2</v>
      </c>
      <c r="N47" s="274">
        <f t="shared" si="1"/>
        <v>2</v>
      </c>
      <c r="O47" s="274">
        <f t="shared" si="1"/>
        <v>2</v>
      </c>
      <c r="P47" s="274">
        <f t="shared" si="1"/>
        <v>2</v>
      </c>
      <c r="Q47" s="274">
        <f t="shared" si="1"/>
        <v>3</v>
      </c>
      <c r="R47" s="274">
        <f t="shared" si="1"/>
        <v>1</v>
      </c>
      <c r="S47" s="274">
        <f t="shared" si="1"/>
        <v>1</v>
      </c>
      <c r="T47" s="274">
        <f t="shared" si="1"/>
        <v>2</v>
      </c>
      <c r="U47" s="274">
        <f t="shared" si="1"/>
        <v>3</v>
      </c>
      <c r="V47" s="274">
        <f t="shared" si="1"/>
        <v>3</v>
      </c>
      <c r="W47" s="274">
        <f t="shared" si="1"/>
        <v>2</v>
      </c>
      <c r="X47" s="274">
        <f t="shared" si="1"/>
        <v>4</v>
      </c>
      <c r="Y47" s="274">
        <f t="shared" si="1"/>
        <v>2</v>
      </c>
      <c r="Z47" s="274">
        <f t="shared" si="1"/>
        <v>2</v>
      </c>
      <c r="AA47" s="274">
        <f t="shared" si="1"/>
        <v>2</v>
      </c>
      <c r="AB47" s="274">
        <f t="shared" si="1"/>
        <v>3</v>
      </c>
      <c r="AC47" s="274">
        <f t="shared" si="1"/>
        <v>3</v>
      </c>
      <c r="AD47" s="274">
        <f t="shared" si="1"/>
        <v>2</v>
      </c>
      <c r="AE47" s="274">
        <f t="shared" si="1"/>
        <v>3</v>
      </c>
      <c r="AF47" s="274">
        <f t="shared" si="1"/>
        <v>2</v>
      </c>
      <c r="AG47" s="274">
        <f t="shared" si="1"/>
        <v>2</v>
      </c>
      <c r="AH47" s="274">
        <f t="shared" si="1"/>
        <v>2</v>
      </c>
      <c r="AI47" s="274">
        <f t="shared" si="1"/>
        <v>2</v>
      </c>
      <c r="AJ47" s="274">
        <f t="shared" si="1"/>
        <v>2</v>
      </c>
      <c r="AK47" s="274">
        <f t="shared" si="1"/>
        <v>3</v>
      </c>
      <c r="AL47" s="274">
        <f t="shared" si="1"/>
        <v>2</v>
      </c>
      <c r="AM47" s="274">
        <f t="shared" si="1"/>
        <v>2</v>
      </c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199"/>
    </row>
    <row r="48" ht="15.75" customHeight="1">
      <c r="A48" s="275" t="s">
        <v>97</v>
      </c>
      <c r="B48" s="276"/>
      <c r="C48" s="277" t="s">
        <v>127</v>
      </c>
      <c r="D48" s="199"/>
      <c r="E48" s="199"/>
      <c r="F48" s="199"/>
      <c r="G48" s="199"/>
      <c r="H48" s="199"/>
      <c r="I48" s="278">
        <f t="shared" ref="I48:AM48" si="2">COUNTIF(I5:I44,"*2*")+COUNTIF(I5:I44,"2")</f>
        <v>3</v>
      </c>
      <c r="J48" s="278">
        <f t="shared" si="2"/>
        <v>2</v>
      </c>
      <c r="K48" s="278">
        <f t="shared" si="2"/>
        <v>2</v>
      </c>
      <c r="L48" s="278">
        <f t="shared" si="2"/>
        <v>2</v>
      </c>
      <c r="M48" s="278">
        <f t="shared" si="2"/>
        <v>2</v>
      </c>
      <c r="N48" s="278">
        <f t="shared" si="2"/>
        <v>2</v>
      </c>
      <c r="O48" s="278">
        <f t="shared" si="2"/>
        <v>2</v>
      </c>
      <c r="P48" s="278">
        <f t="shared" si="2"/>
        <v>2</v>
      </c>
      <c r="Q48" s="278">
        <f t="shared" si="2"/>
        <v>3</v>
      </c>
      <c r="R48" s="278">
        <f t="shared" si="2"/>
        <v>4</v>
      </c>
      <c r="S48" s="278">
        <f t="shared" si="2"/>
        <v>4</v>
      </c>
      <c r="T48" s="278">
        <f t="shared" si="2"/>
        <v>2</v>
      </c>
      <c r="U48" s="278">
        <f t="shared" si="2"/>
        <v>2</v>
      </c>
      <c r="V48" s="278">
        <f t="shared" si="2"/>
        <v>2</v>
      </c>
      <c r="W48" s="278">
        <f t="shared" si="2"/>
        <v>2</v>
      </c>
      <c r="X48" s="278">
        <f t="shared" si="2"/>
        <v>3</v>
      </c>
      <c r="Y48" s="278">
        <f t="shared" si="2"/>
        <v>4</v>
      </c>
      <c r="Z48" s="278">
        <f t="shared" si="2"/>
        <v>4</v>
      </c>
      <c r="AA48" s="278">
        <f t="shared" si="2"/>
        <v>2</v>
      </c>
      <c r="AB48" s="278">
        <f t="shared" si="2"/>
        <v>3</v>
      </c>
      <c r="AC48" s="278">
        <f t="shared" si="2"/>
        <v>2</v>
      </c>
      <c r="AD48" s="278">
        <f t="shared" si="2"/>
        <v>2</v>
      </c>
      <c r="AE48" s="278">
        <f t="shared" si="2"/>
        <v>2</v>
      </c>
      <c r="AF48" s="278">
        <f t="shared" si="2"/>
        <v>2</v>
      </c>
      <c r="AG48" s="278">
        <f t="shared" si="2"/>
        <v>2</v>
      </c>
      <c r="AH48" s="278">
        <f t="shared" si="2"/>
        <v>2</v>
      </c>
      <c r="AI48" s="278">
        <f t="shared" si="2"/>
        <v>2</v>
      </c>
      <c r="AJ48" s="278">
        <f t="shared" si="2"/>
        <v>2</v>
      </c>
      <c r="AK48" s="278">
        <f t="shared" si="2"/>
        <v>2</v>
      </c>
      <c r="AL48" s="278">
        <f t="shared" si="2"/>
        <v>2</v>
      </c>
      <c r="AM48" s="278">
        <f t="shared" si="2"/>
        <v>2</v>
      </c>
      <c r="AN48" s="204"/>
      <c r="AO48" s="204"/>
      <c r="AP48" s="204"/>
      <c r="AQ48" s="204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199"/>
    </row>
    <row r="49" ht="15.75" customHeight="1">
      <c r="A49" s="279" t="s">
        <v>98</v>
      </c>
      <c r="B49" s="280"/>
      <c r="C49" s="281" t="s">
        <v>128</v>
      </c>
      <c r="D49" s="199"/>
      <c r="E49" s="199"/>
      <c r="F49" s="199"/>
      <c r="G49" s="199"/>
      <c r="H49" s="199"/>
      <c r="I49" s="282">
        <f t="shared" ref="I49:S49" si="3">COUNTIF(I5:I44,"*3*")+COUNTIF(I5:I44,"3")</f>
        <v>4</v>
      </c>
      <c r="J49" s="282">
        <f t="shared" si="3"/>
        <v>3</v>
      </c>
      <c r="K49" s="282">
        <f t="shared" si="3"/>
        <v>2</v>
      </c>
      <c r="L49" s="282">
        <f t="shared" si="3"/>
        <v>2</v>
      </c>
      <c r="M49" s="282">
        <f t="shared" si="3"/>
        <v>3</v>
      </c>
      <c r="N49" s="282">
        <f t="shared" si="3"/>
        <v>2</v>
      </c>
      <c r="O49" s="282">
        <f t="shared" si="3"/>
        <v>1</v>
      </c>
      <c r="P49" s="282">
        <f t="shared" si="3"/>
        <v>2</v>
      </c>
      <c r="Q49" s="282">
        <f t="shared" si="3"/>
        <v>3</v>
      </c>
      <c r="R49" s="282">
        <f t="shared" si="3"/>
        <v>4</v>
      </c>
      <c r="S49" s="282">
        <f t="shared" si="3"/>
        <v>2</v>
      </c>
      <c r="T49" s="282">
        <f t="shared" ref="T49:U49" si="4">COUNTIF(T5:T44,"*3*")+COUNTIF(T5:T44,"3")-1</f>
        <v>2</v>
      </c>
      <c r="U49" s="282">
        <f t="shared" si="4"/>
        <v>2</v>
      </c>
      <c r="V49" s="282">
        <f t="shared" ref="V49:AM49" si="5">COUNTIF(V5:V44,"*3*")+COUNTIF(V5:V44,"3")</f>
        <v>2</v>
      </c>
      <c r="W49" s="282">
        <f t="shared" si="5"/>
        <v>2</v>
      </c>
      <c r="X49" s="282">
        <f t="shared" si="5"/>
        <v>3</v>
      </c>
      <c r="Y49" s="282">
        <f t="shared" si="5"/>
        <v>4</v>
      </c>
      <c r="Z49" s="282">
        <f t="shared" si="5"/>
        <v>2</v>
      </c>
      <c r="AA49" s="282">
        <f t="shared" si="5"/>
        <v>2</v>
      </c>
      <c r="AB49" s="282">
        <f t="shared" si="5"/>
        <v>1</v>
      </c>
      <c r="AC49" s="282">
        <f t="shared" si="5"/>
        <v>1</v>
      </c>
      <c r="AD49" s="282">
        <f t="shared" si="5"/>
        <v>2</v>
      </c>
      <c r="AE49" s="282">
        <f t="shared" si="5"/>
        <v>3</v>
      </c>
      <c r="AF49" s="282">
        <f t="shared" si="5"/>
        <v>4</v>
      </c>
      <c r="AG49" s="282">
        <f t="shared" si="5"/>
        <v>2</v>
      </c>
      <c r="AH49" s="282">
        <f t="shared" si="5"/>
        <v>1</v>
      </c>
      <c r="AI49" s="282">
        <f t="shared" si="5"/>
        <v>2</v>
      </c>
      <c r="AJ49" s="282">
        <f t="shared" si="5"/>
        <v>1</v>
      </c>
      <c r="AK49" s="282">
        <f t="shared" si="5"/>
        <v>2</v>
      </c>
      <c r="AL49" s="282">
        <f t="shared" si="5"/>
        <v>3</v>
      </c>
      <c r="AM49" s="282">
        <f t="shared" si="5"/>
        <v>4</v>
      </c>
      <c r="AN49" s="199"/>
      <c r="AO49" s="204"/>
      <c r="AP49" s="204"/>
      <c r="AQ49" s="204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199"/>
    </row>
    <row r="50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204"/>
      <c r="BE50" s="204"/>
      <c r="BF50" s="199"/>
    </row>
    <row r="51" ht="15.75" customHeight="1">
      <c r="A51" s="271" t="s">
        <v>129</v>
      </c>
      <c r="B51" s="272"/>
      <c r="C51" s="273" t="s">
        <v>126</v>
      </c>
      <c r="D51" s="199"/>
      <c r="E51" s="199"/>
      <c r="F51" s="199"/>
      <c r="G51" s="199"/>
      <c r="H51" s="199"/>
      <c r="I51" s="229" t="str">
        <f t="shared" ref="I51:AM51" si="6">IF(MID(I$7,1,1)="1",$C$7,IF(MID(I$8,1,1)="1",$C$7,IF(MID(I$9,1,1)="1",$C$9,IF(MID(I$10,1,1)="1",$C$9,IF(MID(I$11,1,1)="1",$C$11,IF(MID(I$12,1,1)="1",$C$11,IF(MID(I$13,1,1)="1",$C$13,IF(MID(I$14,1,1)="1",$C$13,IF(MID(I$15,1,1)="1",$C$15,IF(MID(I$16,1,1)="1",$C$15,IF(MID(I$17,1,1)="1",$C$17,IF(MID(I$18,1,1)="1",$C$17,IF(MID(I$19,1,1)="1",$C$19,IF(MID(I$20,1,1)="1",$C$19,IF(MID(I$21,1,1)="1",$C$21,IF(MID(I$22,1,1)="1",$C$21,IF(MID(I$23,1,1)="1",$C$23,IF(MID(I$24,1,1)="1",$C$23,IF(MID(I$25,1,1)="1",$C$25,IF(MID(I$26,1,1)="1",$C$25,IF(MID(I$27,1,1)="1",$C$27,IF(MID(I$28,1,1)="1",$C$27,IF(MID(I$29,1,1)="1",$C$29,IF(MID(I$30,1,1)="1",$C$29,IF(MID(I$31,1,1)="1",$C$31,IF(MID(I$32,1,1)="1",$C$31,IF(MID(I$33,1,1)="1",$C$33,IF(MID(I$34,1,1)="1",$C$33,IF(MID(I$39,1,1)="1",$C$39,IF(MID(I$40,1,1)="1",$C$39,""))))))))))))))))))))))))))))))</f>
        <v>032016</v>
      </c>
      <c r="J51" s="229" t="str">
        <f t="shared" si="6"/>
        <v>032016</v>
      </c>
      <c r="K51" s="229" t="str">
        <f t="shared" si="6"/>
        <v>032013</v>
      </c>
      <c r="L51" s="229" t="str">
        <f t="shared" si="6"/>
        <v>032013</v>
      </c>
      <c r="M51" s="229" t="str">
        <f t="shared" si="6"/>
        <v>032025</v>
      </c>
      <c r="N51" s="229" t="str">
        <f t="shared" si="6"/>
        <v>032025</v>
      </c>
      <c r="O51" s="229" t="str">
        <f t="shared" si="6"/>
        <v>032028</v>
      </c>
      <c r="P51" s="229" t="str">
        <f t="shared" si="6"/>
        <v>032015</v>
      </c>
      <c r="Q51" s="229" t="str">
        <f t="shared" si="6"/>
        <v>032015</v>
      </c>
      <c r="R51" s="229" t="str">
        <f t="shared" si="6"/>
        <v>032015</v>
      </c>
      <c r="S51" s="229" t="str">
        <f t="shared" si="6"/>
        <v>032015</v>
      </c>
      <c r="T51" s="229" t="str">
        <f t="shared" si="6"/>
        <v>032023</v>
      </c>
      <c r="U51" s="229" t="str">
        <f t="shared" si="6"/>
        <v>032018</v>
      </c>
      <c r="V51" s="229" t="str">
        <f t="shared" si="6"/>
        <v>032025</v>
      </c>
      <c r="W51" s="229" t="str">
        <f t="shared" si="6"/>
        <v>032027</v>
      </c>
      <c r="X51" s="229" t="str">
        <f t="shared" si="6"/>
        <v>032027</v>
      </c>
      <c r="Y51" s="229" t="str">
        <f t="shared" si="6"/>
        <v>032029</v>
      </c>
      <c r="Z51" s="229" t="str">
        <f t="shared" si="6"/>
        <v>032029</v>
      </c>
      <c r="AA51" s="229" t="str">
        <f t="shared" si="6"/>
        <v>032022</v>
      </c>
      <c r="AB51" s="229" t="str">
        <f t="shared" si="6"/>
        <v>032022</v>
      </c>
      <c r="AC51" s="229" t="str">
        <f t="shared" si="6"/>
        <v>032023</v>
      </c>
      <c r="AD51" s="229" t="str">
        <f t="shared" si="6"/>
        <v>032025</v>
      </c>
      <c r="AE51" s="229" t="str">
        <f t="shared" si="6"/>
        <v>032016</v>
      </c>
      <c r="AF51" s="229" t="str">
        <f t="shared" si="6"/>
        <v>032016</v>
      </c>
      <c r="AG51" s="229" t="str">
        <f t="shared" si="6"/>
        <v>032016</v>
      </c>
      <c r="AH51" s="229" t="str">
        <f t="shared" si="6"/>
        <v>032027</v>
      </c>
      <c r="AI51" s="229" t="str">
        <f t="shared" si="6"/>
        <v>032025</v>
      </c>
      <c r="AJ51" s="229" t="str">
        <f t="shared" si="6"/>
        <v>032022</v>
      </c>
      <c r="AK51" s="229" t="str">
        <f t="shared" si="6"/>
        <v>032022</v>
      </c>
      <c r="AL51" s="229" t="str">
        <f t="shared" si="6"/>
        <v>032018</v>
      </c>
      <c r="AM51" s="229" t="str">
        <f t="shared" si="6"/>
        <v>032018</v>
      </c>
      <c r="AN51" s="204"/>
      <c r="AO51" s="204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199"/>
    </row>
    <row r="52" ht="15.75" customHeight="1">
      <c r="A52" s="275" t="s">
        <v>130</v>
      </c>
      <c r="B52" s="276"/>
      <c r="C52" s="277" t="s">
        <v>127</v>
      </c>
      <c r="D52" s="204"/>
      <c r="E52" s="204"/>
      <c r="F52" s="204"/>
      <c r="G52" s="204"/>
      <c r="H52" s="204"/>
      <c r="I52" s="229" t="str">
        <f t="shared" ref="I52:AM52" si="7">IF(MID(I$7,1,1)="2",$C$7,IF(MID(I$8,1,1)="2",$C$7,IF(MID(I$9,1,1)="2",$C$9,IF(MID(I$10,1,1)="2",$C$9,IF(MID(I$11,1,1)="2",$C$11,IF(MID(I$12,1,1)="2",$C$11,IF(MID(I$13,1,1)="2",$C$13,IF(MID(I$14,1,1)="2",$C$13,IF(MID(I$15,1,1)="2",$C$15,IF(MID(I$16,1,1)="2",$C$15,IF(MID(I$17,1,1)="2",$C$17,IF(MID(I$18,1,1)="2",$C$17,IF(MID(I$19,1,1)="2",$C$19,IF(MID(I$20,1,1)="2",$C$19,IF(MID(I$21,1,1)="2",$C$21,IF(MID(I$22,1,1)="2",$C$21,IF(MID(I$23,1,1)="2",$C$23,IF(MID(I$24,1,1)="2",$C$23,IF(MID(I$25,1,1)="2",$C$25,IF(MID(I$26,1,1)="2",$C$25,IF(MID(I$27,1,1)="2",$C$27,IF(MID(I$28,1,1)="2",$C$27,IF(MID(I$29,1,1)="2",$C$29,IF(MID(I$30,1,1)="2",$C$29,IF(MID(I$31,1,1)="2",$C$31,IF(MID(I$32,1,1)="2",$C$31,IF(MID(I$33,1,1)="2",$C$33,IF(MID(I$34,1,1)="2",$C$33,IF(MID(I$39,1,1)="2",$C$39,IF(MID(I$40,1,1)="2",$C$39,""))))))))))))))))))))))))))))))</f>
        <v>032022</v>
      </c>
      <c r="J52" s="229" t="str">
        <f t="shared" si="7"/>
        <v>032022</v>
      </c>
      <c r="K52" s="229" t="str">
        <f t="shared" si="7"/>
        <v>032022</v>
      </c>
      <c r="L52" s="229" t="str">
        <f t="shared" si="7"/>
        <v>032022</v>
      </c>
      <c r="M52" s="229" t="str">
        <f t="shared" si="7"/>
        <v>032015</v>
      </c>
      <c r="N52" s="229" t="str">
        <f t="shared" si="7"/>
        <v>032015</v>
      </c>
      <c r="O52" s="229" t="str">
        <f t="shared" si="7"/>
        <v>032030</v>
      </c>
      <c r="P52" s="229" t="str">
        <f t="shared" si="7"/>
        <v>032029</v>
      </c>
      <c r="Q52" s="229" t="str">
        <f t="shared" si="7"/>
        <v>032026</v>
      </c>
      <c r="R52" s="229" t="str">
        <f t="shared" si="7"/>
        <v>032026</v>
      </c>
      <c r="S52" s="229" t="str">
        <f t="shared" si="7"/>
        <v>032025</v>
      </c>
      <c r="T52" s="229" t="str">
        <f t="shared" si="7"/>
        <v>032022</v>
      </c>
      <c r="U52" s="229" t="str">
        <f t="shared" si="7"/>
        <v>032029</v>
      </c>
      <c r="V52" s="229" t="str">
        <f t="shared" si="7"/>
        <v>032016</v>
      </c>
      <c r="W52" s="229" t="str">
        <f t="shared" si="7"/>
        <v>032016</v>
      </c>
      <c r="X52" s="229" t="str">
        <f t="shared" si="7"/>
        <v>032025</v>
      </c>
      <c r="Y52" s="229" t="str">
        <f t="shared" si="7"/>
        <v>032025</v>
      </c>
      <c r="Z52" s="229" t="str">
        <f t="shared" si="7"/>
        <v>032025</v>
      </c>
      <c r="AA52" s="229" t="str">
        <f t="shared" si="7"/>
        <v>032015</v>
      </c>
      <c r="AB52" s="229" t="str">
        <f t="shared" si="7"/>
        <v>032022</v>
      </c>
      <c r="AC52" s="229" t="str">
        <f t="shared" si="7"/>
        <v>032027</v>
      </c>
      <c r="AD52" s="229" t="str">
        <f t="shared" si="7"/>
        <v>032023</v>
      </c>
      <c r="AE52" s="229" t="str">
        <f t="shared" si="7"/>
        <v>032023</v>
      </c>
      <c r="AF52" s="229" t="str">
        <f t="shared" si="7"/>
        <v>032018</v>
      </c>
      <c r="AG52" s="229" t="str">
        <f t="shared" si="7"/>
        <v>032018</v>
      </c>
      <c r="AH52" s="229" t="str">
        <f t="shared" si="7"/>
        <v>032018</v>
      </c>
      <c r="AI52" s="229" t="str">
        <f t="shared" si="7"/>
        <v>032018</v>
      </c>
      <c r="AJ52" s="229" t="str">
        <f t="shared" si="7"/>
        <v>032016</v>
      </c>
      <c r="AK52" s="229" t="str">
        <f t="shared" si="7"/>
        <v>032029</v>
      </c>
      <c r="AL52" s="229" t="str">
        <f t="shared" si="7"/>
        <v>032022</v>
      </c>
      <c r="AM52" s="229" t="str">
        <f t="shared" si="7"/>
        <v>032022</v>
      </c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199"/>
    </row>
    <row r="53" ht="15.75" customHeight="1">
      <c r="A53" s="279" t="s">
        <v>131</v>
      </c>
      <c r="B53" s="280"/>
      <c r="C53" s="281" t="s">
        <v>128</v>
      </c>
      <c r="D53" s="204"/>
      <c r="E53" s="204"/>
      <c r="F53" s="204"/>
      <c r="G53" s="204"/>
      <c r="H53" s="204"/>
      <c r="I53" s="229" t="str">
        <f t="shared" ref="I53:AM53" si="8">IF(MID(I$7,1,1)="3",$C$7,IF(MID(I$8,1,1)="3",$C$7,IF(MID(I$9,1,1)="3",$C$9,IF(MID(I$10,1,1)="3",$C$9,IF(MID(I$11,1,1)="3",$C$11,IF(MID(I$12,1,1)="3",$C$11,IF(MID(I$13,1,1)="3",$C$13,IF(MID(I$14,1,1)="3",$C$13,IF(MID(I$15,1,1)="3",$C$15,IF(MID(I$16,1,1)="3",$C$15,IF(MID(I$17,1,1)="3",$C$17,IF(MID(I$18,1,1)="3",$C$17,IF(MID(I$19,1,1)="3",$C$19,IF(MID(I$20,1,1)="3",$C$19,IF(MID(I$21,1,1)="3",$C$21,IF(MID(I$22,1,1)="3",$C$21,IF(MID(I$23,1,1)="3",$C$23,IF(MID(I$24,1,1)="3",$C$23,IF(MID(I$25,1,1)="3",$C$25,IF(MID(I$26,1,1)="3",$C$25,IF(MID(I$27,1,1)="3",$C$27,IF(MID(I$28,1,1)="3",$C$27,IF(MID(I$29,1,1)="3",$C$29,IF(MID(I$30,1,1)="3",$C$29,IF(MID(I$31,1,1)="3",$C$31,IF(MID(I$32,1,1)="3",$C$31,IF(MID(I$33,1,1)="3",$C$33,IF(MID(I$34,1,1)="3",$C$33,IF(MID(I$39,1,1)="3",$C$39,IF(MID(I$40,1,1)="3",$C$39,""))))))))))))))))))))))))))))))</f>
        <v>032022</v>
      </c>
      <c r="J53" s="229" t="str">
        <f t="shared" si="8"/>
        <v>032023</v>
      </c>
      <c r="K53" s="229" t="str">
        <f t="shared" si="8"/>
        <v>032027</v>
      </c>
      <c r="L53" s="229" t="str">
        <f t="shared" si="8"/>
        <v>032027</v>
      </c>
      <c r="M53" s="229" t="str">
        <f t="shared" si="8"/>
        <v>032022</v>
      </c>
      <c r="N53" s="229" t="str">
        <f t="shared" si="8"/>
        <v>032027</v>
      </c>
      <c r="O53" s="229" t="str">
        <f t="shared" si="8"/>
        <v>032013</v>
      </c>
      <c r="P53" s="229" t="str">
        <f t="shared" si="8"/>
        <v>032025</v>
      </c>
      <c r="Q53" s="229" t="str">
        <f t="shared" si="8"/>
        <v>032025</v>
      </c>
      <c r="R53" s="229" t="str">
        <f t="shared" si="8"/>
        <v>032016</v>
      </c>
      <c r="S53" s="229" t="str">
        <f t="shared" si="8"/>
        <v>032016</v>
      </c>
      <c r="T53" s="229" t="str">
        <f t="shared" si="8"/>
        <v>032015</v>
      </c>
      <c r="U53" s="229" t="str">
        <f t="shared" si="8"/>
        <v>032015</v>
      </c>
      <c r="V53" s="229" t="str">
        <f t="shared" si="8"/>
        <v>032015</v>
      </c>
      <c r="W53" s="229" t="str">
        <f t="shared" si="8"/>
        <v>032023</v>
      </c>
      <c r="X53" s="229" t="str">
        <f t="shared" si="8"/>
        <v>032018</v>
      </c>
      <c r="Y53" s="229" t="str">
        <f t="shared" si="8"/>
        <v>032018</v>
      </c>
      <c r="Z53" s="229" t="str">
        <f t="shared" si="8"/>
        <v>032018</v>
      </c>
      <c r="AA53" s="229" t="str">
        <f t="shared" si="8"/>
        <v>032018</v>
      </c>
      <c r="AB53" s="229" t="str">
        <f t="shared" si="8"/>
        <v>032018</v>
      </c>
      <c r="AC53" s="229" t="str">
        <f t="shared" si="8"/>
        <v>032031</v>
      </c>
      <c r="AD53" s="229" t="str">
        <f t="shared" si="8"/>
        <v>032015</v>
      </c>
      <c r="AE53" s="229" t="str">
        <f t="shared" si="8"/>
        <v>032015</v>
      </c>
      <c r="AF53" s="229" t="str">
        <f t="shared" si="8"/>
        <v>032015</v>
      </c>
      <c r="AG53" s="229" t="str">
        <f t="shared" si="8"/>
        <v>032022</v>
      </c>
      <c r="AH53" s="229" t="str">
        <f t="shared" si="8"/>
        <v>032026</v>
      </c>
      <c r="AI53" s="229" t="str">
        <f t="shared" si="8"/>
        <v>032026</v>
      </c>
      <c r="AJ53" s="229" t="str">
        <f t="shared" si="8"/>
        <v>032030</v>
      </c>
      <c r="AK53" s="229" t="str">
        <f t="shared" si="8"/>
        <v>032016</v>
      </c>
      <c r="AL53" s="229" t="str">
        <f t="shared" si="8"/>
        <v>032016</v>
      </c>
      <c r="AM53" s="229" t="str">
        <f t="shared" si="8"/>
        <v>032016</v>
      </c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199"/>
    </row>
    <row r="54" ht="15.75" customHeight="1">
      <c r="BE54" s="199"/>
    </row>
    <row r="55" ht="15.75" customHeight="1">
      <c r="BE55" s="199"/>
    </row>
    <row r="56" ht="15.75" customHeight="1">
      <c r="BE56" s="199"/>
    </row>
    <row r="57" ht="15.75" customHeight="1">
      <c r="BE57" s="199"/>
    </row>
    <row r="58" ht="15.75" customHeight="1">
      <c r="BE58" s="199"/>
    </row>
    <row r="59" ht="15.75" customHeight="1">
      <c r="BE59" s="199"/>
    </row>
    <row r="60" ht="15.75" customHeight="1">
      <c r="BE60" s="199"/>
    </row>
    <row r="61" ht="15.75" customHeight="1">
      <c r="BE61" s="199"/>
    </row>
    <row r="62" ht="15.75" customHeight="1">
      <c r="BE62" s="199"/>
    </row>
    <row r="63" ht="15.75" customHeight="1">
      <c r="BE63" s="199"/>
    </row>
    <row r="64" ht="15.75" customHeight="1">
      <c r="BE64" s="199"/>
    </row>
    <row r="65" ht="15.75" customHeight="1">
      <c r="BE65" s="199"/>
    </row>
    <row r="66" ht="15.75" customHeight="1">
      <c r="BE66" s="199"/>
    </row>
    <row r="67" ht="15.75" customHeight="1">
      <c r="BE67" s="199"/>
    </row>
    <row r="68" ht="15.75" customHeight="1">
      <c r="BE68" s="199"/>
    </row>
    <row r="69" ht="15.75" customHeight="1">
      <c r="BE69" s="199"/>
    </row>
    <row r="70" ht="15.75" customHeight="1">
      <c r="BE70" s="199"/>
    </row>
    <row r="71" ht="15.75" customHeight="1">
      <c r="BE71" s="199"/>
    </row>
    <row r="72" ht="15.75" customHeight="1">
      <c r="BE72" s="199"/>
    </row>
    <row r="73" ht="15.75" customHeight="1">
      <c r="BE73" s="199"/>
    </row>
    <row r="74" ht="15.75" customHeight="1">
      <c r="BE74" s="199"/>
    </row>
    <row r="75" ht="15.75" customHeight="1">
      <c r="BE75" s="199"/>
    </row>
    <row r="76" ht="15.75" customHeight="1">
      <c r="BE76" s="199"/>
    </row>
    <row r="77" ht="15.75" customHeight="1">
      <c r="BE77" s="199"/>
    </row>
    <row r="78" ht="15.75" customHeight="1">
      <c r="BE78" s="199"/>
    </row>
    <row r="79" ht="15.75" customHeight="1">
      <c r="BE79" s="199"/>
    </row>
    <row r="80" ht="15.75" customHeight="1">
      <c r="BE80" s="199"/>
    </row>
    <row r="81" ht="15.75" customHeight="1">
      <c r="BE81" s="199"/>
    </row>
    <row r="82" ht="15.75" customHeight="1">
      <c r="BE82" s="199"/>
    </row>
    <row r="83" ht="15.75" customHeight="1">
      <c r="BE83" s="199"/>
    </row>
    <row r="84" ht="15.75" customHeight="1">
      <c r="BE84" s="199"/>
    </row>
    <row r="85" ht="15.75" customHeight="1">
      <c r="BE85" s="199"/>
    </row>
    <row r="86" ht="15.75" customHeight="1">
      <c r="BE86" s="199"/>
    </row>
    <row r="87" ht="15.75" customHeight="1">
      <c r="BE87" s="199"/>
    </row>
    <row r="88" ht="15.75" customHeight="1">
      <c r="BE88" s="199"/>
    </row>
    <row r="89" ht="15.75" customHeight="1">
      <c r="BE89" s="199"/>
    </row>
    <row r="90" ht="15.75" customHeight="1">
      <c r="BE90" s="199"/>
    </row>
    <row r="91" ht="15.75" customHeight="1">
      <c r="BE91" s="199"/>
    </row>
    <row r="92" ht="15.75" customHeight="1">
      <c r="BE92" s="199"/>
    </row>
    <row r="93" ht="15.75" customHeight="1">
      <c r="BE93" s="199"/>
    </row>
    <row r="94" ht="15.75" customHeight="1">
      <c r="BE94" s="199"/>
    </row>
    <row r="95" ht="15.75" customHeight="1">
      <c r="BE95" s="199"/>
    </row>
    <row r="96" ht="15.75" customHeight="1">
      <c r="BE96" s="199"/>
    </row>
    <row r="97" ht="15.75" customHeight="1">
      <c r="BE97" s="199"/>
    </row>
    <row r="98" ht="15.75" customHeight="1">
      <c r="BE98" s="199"/>
    </row>
    <row r="99" ht="15.75" customHeight="1">
      <c r="BE99" s="199"/>
    </row>
    <row r="100" ht="15.75" customHeight="1">
      <c r="BE100" s="199"/>
    </row>
    <row r="101" ht="15.75" customHeight="1">
      <c r="BE101" s="199"/>
    </row>
    <row r="102" ht="15.75" customHeight="1">
      <c r="BE102" s="199"/>
    </row>
    <row r="103" ht="15.75" customHeight="1">
      <c r="BE103" s="199"/>
    </row>
    <row r="104" ht="15.75" customHeight="1">
      <c r="BE104" s="199"/>
    </row>
    <row r="105" ht="15.75" customHeight="1">
      <c r="BE105" s="199"/>
    </row>
    <row r="106" ht="15.75" customHeight="1">
      <c r="BE106" s="199"/>
    </row>
    <row r="107" ht="15.75" customHeight="1">
      <c r="BE107" s="199"/>
    </row>
    <row r="108" ht="15.75" customHeight="1">
      <c r="BE108" s="199"/>
    </row>
    <row r="109" ht="15.75" customHeight="1">
      <c r="BE109" s="199"/>
    </row>
    <row r="110" ht="15.75" customHeight="1">
      <c r="BE110" s="199"/>
    </row>
    <row r="111" ht="15.75" customHeight="1">
      <c r="BE111" s="199"/>
    </row>
    <row r="112" ht="15.75" customHeight="1">
      <c r="BE112" s="199"/>
    </row>
    <row r="113" ht="15.75" customHeight="1">
      <c r="BE113" s="199"/>
    </row>
    <row r="114" ht="15.75" customHeight="1">
      <c r="BE114" s="199"/>
    </row>
    <row r="115" ht="15.75" customHeight="1">
      <c r="BE115" s="199"/>
    </row>
    <row r="116" ht="15.75" customHeight="1">
      <c r="BE116" s="199"/>
    </row>
    <row r="117" ht="15.75" customHeight="1">
      <c r="BE117" s="199"/>
    </row>
    <row r="118" ht="15.75" customHeight="1">
      <c r="BE118" s="199"/>
    </row>
    <row r="119" ht="15.75" customHeight="1">
      <c r="BE119" s="199"/>
    </row>
    <row r="120" ht="15.75" customHeight="1">
      <c r="BE120" s="199"/>
    </row>
    <row r="121" ht="15.75" customHeight="1">
      <c r="BE121" s="199"/>
    </row>
    <row r="122" ht="15.75" customHeight="1">
      <c r="BE122" s="199"/>
    </row>
    <row r="123" ht="15.75" customHeight="1">
      <c r="BE123" s="199"/>
    </row>
    <row r="124" ht="15.75" customHeight="1">
      <c r="BE124" s="199"/>
    </row>
    <row r="125" ht="15.75" customHeight="1">
      <c r="BE125" s="199"/>
    </row>
    <row r="126" ht="15.75" customHeight="1">
      <c r="BE126" s="199"/>
    </row>
    <row r="127" ht="15.75" customHeight="1">
      <c r="BE127" s="199"/>
    </row>
    <row r="128" ht="15.75" customHeight="1">
      <c r="BE128" s="199"/>
    </row>
    <row r="129" ht="15.75" customHeight="1">
      <c r="BE129" s="199"/>
    </row>
    <row r="130" ht="15.75" customHeight="1">
      <c r="BE130" s="199"/>
    </row>
    <row r="131" ht="15.75" customHeight="1">
      <c r="BE131" s="199"/>
    </row>
    <row r="132" ht="15.75" customHeight="1">
      <c r="BE132" s="199"/>
    </row>
    <row r="133" ht="15.75" customHeight="1">
      <c r="BE133" s="199"/>
    </row>
    <row r="134" ht="15.75" customHeight="1">
      <c r="BE134" s="199"/>
    </row>
    <row r="135" ht="15.75" customHeight="1">
      <c r="BE135" s="199"/>
    </row>
    <row r="136" ht="15.75" customHeight="1">
      <c r="BE136" s="199"/>
    </row>
    <row r="137" ht="15.75" customHeight="1">
      <c r="BE137" s="199"/>
    </row>
    <row r="138" ht="15.75" customHeight="1">
      <c r="BE138" s="199"/>
    </row>
    <row r="139" ht="15.75" customHeight="1">
      <c r="BE139" s="199"/>
    </row>
    <row r="140" ht="15.75" customHeight="1">
      <c r="BE140" s="199"/>
    </row>
    <row r="141" ht="15.75" customHeight="1">
      <c r="BE141" s="199"/>
    </row>
    <row r="142" ht="15.75" customHeight="1">
      <c r="BE142" s="199"/>
    </row>
    <row r="143" ht="15.75" customHeight="1">
      <c r="BE143" s="199"/>
    </row>
    <row r="144" ht="15.75" customHeight="1">
      <c r="BE144" s="199"/>
    </row>
    <row r="145" ht="15.75" customHeight="1">
      <c r="BE145" s="199"/>
    </row>
    <row r="146" ht="15.75" customHeight="1">
      <c r="BE146" s="199"/>
    </row>
    <row r="147" ht="15.75" customHeight="1">
      <c r="BE147" s="199"/>
    </row>
    <row r="148" ht="15.75" customHeight="1">
      <c r="BE148" s="199"/>
    </row>
    <row r="149" ht="15.75" customHeight="1">
      <c r="BE149" s="199"/>
    </row>
    <row r="150" ht="15.75" customHeight="1">
      <c r="BE150" s="199"/>
    </row>
    <row r="151" ht="15.75" customHeight="1">
      <c r="BE151" s="199"/>
    </row>
    <row r="152" ht="15.75" customHeight="1">
      <c r="BE152" s="199"/>
    </row>
    <row r="153" ht="15.75" customHeight="1">
      <c r="BE153" s="199"/>
    </row>
    <row r="154" ht="15.75" customHeight="1">
      <c r="BE154" s="199"/>
    </row>
    <row r="155" ht="15.75" customHeight="1">
      <c r="BE155" s="199"/>
    </row>
    <row r="156" ht="15.75" customHeight="1">
      <c r="BE156" s="199"/>
    </row>
    <row r="157" ht="15.75" customHeight="1">
      <c r="BE157" s="199"/>
    </row>
    <row r="158" ht="15.75" customHeight="1">
      <c r="BE158" s="199"/>
    </row>
    <row r="159" ht="15.75" customHeight="1">
      <c r="BE159" s="199"/>
    </row>
    <row r="160" ht="15.75" customHeight="1">
      <c r="BE160" s="199"/>
    </row>
    <row r="161" ht="15.75" customHeight="1">
      <c r="BE161" s="199"/>
    </row>
    <row r="162" ht="15.75" customHeight="1">
      <c r="BE162" s="199"/>
    </row>
    <row r="163" ht="15.75" customHeight="1">
      <c r="BE163" s="199"/>
    </row>
    <row r="164" ht="15.75" customHeight="1">
      <c r="BE164" s="199"/>
    </row>
    <row r="165" ht="15.75" customHeight="1">
      <c r="BE165" s="199"/>
    </row>
    <row r="166" ht="15.75" customHeight="1">
      <c r="BE166" s="199"/>
    </row>
    <row r="167" ht="15.75" customHeight="1">
      <c r="BE167" s="199"/>
    </row>
    <row r="168" ht="15.75" customHeight="1">
      <c r="BE168" s="199"/>
    </row>
    <row r="169" ht="15.75" customHeight="1">
      <c r="BE169" s="199"/>
    </row>
    <row r="170" ht="15.75" customHeight="1">
      <c r="BE170" s="199"/>
    </row>
    <row r="171" ht="15.75" customHeight="1">
      <c r="BE171" s="199"/>
    </row>
    <row r="172" ht="15.75" customHeight="1">
      <c r="BE172" s="199"/>
    </row>
    <row r="173" ht="15.75" customHeight="1">
      <c r="BE173" s="199"/>
    </row>
    <row r="174" ht="15.75" customHeight="1">
      <c r="BE174" s="199"/>
    </row>
    <row r="175" ht="15.75" customHeight="1">
      <c r="BE175" s="199"/>
    </row>
    <row r="176" ht="15.75" customHeight="1">
      <c r="BE176" s="199"/>
    </row>
    <row r="177" ht="15.75" customHeight="1">
      <c r="BE177" s="199"/>
    </row>
    <row r="178" ht="15.75" customHeight="1">
      <c r="BE178" s="199"/>
    </row>
    <row r="179" ht="15.75" customHeight="1">
      <c r="BE179" s="199"/>
    </row>
    <row r="180" ht="15.75" customHeight="1">
      <c r="BE180" s="199"/>
    </row>
    <row r="181" ht="15.75" customHeight="1">
      <c r="BE181" s="199"/>
    </row>
    <row r="182" ht="15.75" customHeight="1">
      <c r="BE182" s="199"/>
    </row>
    <row r="183" ht="15.75" customHeight="1">
      <c r="BE183" s="199"/>
    </row>
    <row r="184" ht="15.75" customHeight="1">
      <c r="BE184" s="199"/>
    </row>
    <row r="185" ht="15.75" customHeight="1">
      <c r="BE185" s="199"/>
    </row>
    <row r="186" ht="15.75" customHeight="1">
      <c r="BE186" s="199"/>
    </row>
    <row r="187" ht="15.75" customHeight="1">
      <c r="BE187" s="199"/>
    </row>
    <row r="188" ht="15.75" customHeight="1">
      <c r="BE188" s="199"/>
    </row>
    <row r="189" ht="15.75" customHeight="1">
      <c r="BE189" s="199"/>
    </row>
    <row r="190" ht="15.75" customHeight="1">
      <c r="BE190" s="199"/>
    </row>
    <row r="191" ht="15.75" customHeight="1">
      <c r="BE191" s="199"/>
    </row>
    <row r="192" ht="15.75" customHeight="1">
      <c r="BE192" s="199"/>
    </row>
    <row r="193" ht="15.75" customHeight="1">
      <c r="BE193" s="199"/>
    </row>
    <row r="194" ht="15.75" customHeight="1">
      <c r="BE194" s="199"/>
    </row>
    <row r="195" ht="15.75" customHeight="1">
      <c r="BE195" s="199"/>
    </row>
    <row r="196" ht="15.75" customHeight="1">
      <c r="BE196" s="199"/>
    </row>
    <row r="197" ht="15.75" customHeight="1">
      <c r="BE197" s="199"/>
    </row>
    <row r="198" ht="15.75" customHeight="1">
      <c r="BE198" s="199"/>
    </row>
    <row r="199" ht="15.75" customHeight="1">
      <c r="BE199" s="199"/>
    </row>
    <row r="200" ht="15.75" customHeight="1">
      <c r="BE200" s="199"/>
    </row>
    <row r="201" ht="15.75" customHeight="1">
      <c r="BE201" s="199"/>
    </row>
    <row r="202" ht="15.75" customHeight="1">
      <c r="BE202" s="199"/>
    </row>
    <row r="203" ht="15.75" customHeight="1">
      <c r="BE203" s="199"/>
    </row>
    <row r="204" ht="15.75" customHeight="1">
      <c r="BE204" s="199"/>
    </row>
    <row r="205" ht="15.75" customHeight="1">
      <c r="BE205" s="199"/>
    </row>
    <row r="206" ht="15.75" customHeight="1">
      <c r="BE206" s="199"/>
    </row>
    <row r="207" ht="15.75" customHeight="1">
      <c r="BE207" s="199"/>
    </row>
    <row r="208" ht="15.75" customHeight="1">
      <c r="BE208" s="199"/>
    </row>
    <row r="209" ht="15.75" customHeight="1">
      <c r="BE209" s="199"/>
    </row>
    <row r="210" ht="15.75" customHeight="1">
      <c r="BE210" s="199"/>
    </row>
    <row r="211" ht="15.75" customHeight="1">
      <c r="BE211" s="199"/>
    </row>
    <row r="212" ht="15.75" customHeight="1">
      <c r="BE212" s="199"/>
    </row>
    <row r="213" ht="15.75" customHeight="1">
      <c r="BE213" s="199"/>
    </row>
    <row r="214" ht="15.75" customHeight="1">
      <c r="BE214" s="199"/>
    </row>
    <row r="215" ht="15.75" customHeight="1">
      <c r="BE215" s="199"/>
    </row>
    <row r="216" ht="15.75" customHeight="1">
      <c r="BE216" s="199"/>
    </row>
    <row r="217" ht="15.75" customHeight="1">
      <c r="BE217" s="199"/>
    </row>
    <row r="218" ht="15.75" customHeight="1">
      <c r="BE218" s="199"/>
    </row>
    <row r="219" ht="15.75" customHeight="1">
      <c r="BE219" s="199"/>
    </row>
    <row r="220" ht="15.75" customHeight="1">
      <c r="BE220" s="199"/>
    </row>
    <row r="221" ht="15.75" customHeight="1">
      <c r="BE221" s="199"/>
    </row>
    <row r="222" ht="15.75" customHeight="1">
      <c r="BE222" s="199"/>
    </row>
    <row r="223" ht="15.75" customHeight="1">
      <c r="BE223" s="199"/>
    </row>
    <row r="224" ht="15.75" customHeight="1">
      <c r="BE224" s="199"/>
    </row>
    <row r="225" ht="15.75" customHeight="1">
      <c r="BE225" s="199"/>
    </row>
    <row r="226" ht="15.75" customHeight="1">
      <c r="BE226" s="199"/>
    </row>
    <row r="227" ht="15.75" customHeight="1">
      <c r="BE227" s="199"/>
    </row>
    <row r="228" ht="15.75" customHeight="1">
      <c r="BE228" s="199"/>
    </row>
    <row r="229" ht="15.75" customHeight="1">
      <c r="BE229" s="199"/>
    </row>
    <row r="230" ht="15.75" customHeight="1">
      <c r="BE230" s="199"/>
    </row>
    <row r="231" ht="15.75" customHeight="1">
      <c r="BE231" s="199"/>
    </row>
    <row r="232" ht="15.75" customHeight="1">
      <c r="BE232" s="199"/>
    </row>
    <row r="233" ht="15.75" customHeight="1">
      <c r="BE233" s="199"/>
    </row>
    <row r="234" ht="15.75" customHeight="1">
      <c r="BE234" s="199"/>
    </row>
    <row r="235" ht="15.75" customHeight="1">
      <c r="BE235" s="199"/>
    </row>
    <row r="236" ht="15.75" customHeight="1">
      <c r="BE236" s="199"/>
    </row>
    <row r="237" ht="15.75" customHeight="1">
      <c r="BE237" s="199"/>
    </row>
    <row r="238" ht="15.75" customHeight="1">
      <c r="BE238" s="199"/>
    </row>
    <row r="239" ht="15.75" customHeight="1">
      <c r="BE239" s="199"/>
    </row>
    <row r="240" ht="15.75" customHeight="1">
      <c r="BE240" s="199"/>
    </row>
    <row r="241" ht="15.75" customHeight="1">
      <c r="BE241" s="199"/>
    </row>
    <row r="242" ht="15.75" customHeight="1">
      <c r="BE242" s="199"/>
    </row>
    <row r="243" ht="15.75" customHeight="1">
      <c r="BE243" s="199"/>
    </row>
    <row r="244" ht="15.75" customHeight="1">
      <c r="BE244" s="199"/>
    </row>
    <row r="245" ht="15.75" customHeight="1">
      <c r="BE245" s="199"/>
    </row>
    <row r="246" ht="15.75" customHeight="1">
      <c r="BE246" s="199"/>
    </row>
    <row r="247" ht="15.75" customHeight="1">
      <c r="BE247" s="199"/>
    </row>
    <row r="248" ht="15.75" customHeight="1">
      <c r="BE248" s="199"/>
    </row>
    <row r="249" ht="15.75" customHeight="1">
      <c r="BE249" s="199"/>
    </row>
    <row r="250" ht="15.75" customHeight="1">
      <c r="BE250" s="199"/>
    </row>
    <row r="251" ht="15.75" customHeight="1">
      <c r="BE251" s="199"/>
    </row>
    <row r="252" ht="15.75" customHeight="1">
      <c r="BE252" s="199"/>
    </row>
    <row r="253" ht="15.75" customHeight="1">
      <c r="BE253" s="199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B27:B28"/>
    <mergeCell ref="C27:C28"/>
    <mergeCell ref="A29:A30"/>
    <mergeCell ref="B29:B30"/>
    <mergeCell ref="C29:C30"/>
    <mergeCell ref="A31:A32"/>
    <mergeCell ref="B31:B32"/>
    <mergeCell ref="C31:C32"/>
    <mergeCell ref="T32:U32"/>
    <mergeCell ref="A33:A34"/>
    <mergeCell ref="B33:B34"/>
    <mergeCell ref="C33:C34"/>
    <mergeCell ref="D33:H33"/>
    <mergeCell ref="I33:AM33"/>
    <mergeCell ref="A23:A24"/>
    <mergeCell ref="B23:B24"/>
    <mergeCell ref="C23:C24"/>
    <mergeCell ref="A25:A26"/>
    <mergeCell ref="B25:B26"/>
    <mergeCell ref="C25:C26"/>
    <mergeCell ref="A27:A28"/>
    <mergeCell ref="B39:B40"/>
    <mergeCell ref="C39:C40"/>
    <mergeCell ref="A35:A36"/>
    <mergeCell ref="B35:B36"/>
    <mergeCell ref="C35:C36"/>
    <mergeCell ref="A37:A38"/>
    <mergeCell ref="B37:B38"/>
    <mergeCell ref="C37:C38"/>
    <mergeCell ref="A39:A40"/>
    <mergeCell ref="A48:B48"/>
    <mergeCell ref="A49:B49"/>
    <mergeCell ref="A51:B51"/>
    <mergeCell ref="A52:B52"/>
    <mergeCell ref="A53:B53"/>
    <mergeCell ref="A41:A42"/>
    <mergeCell ref="B41:B42"/>
    <mergeCell ref="C41:C42"/>
    <mergeCell ref="A43:A44"/>
    <mergeCell ref="B43:B44"/>
    <mergeCell ref="C43:C44"/>
    <mergeCell ref="A47:B47"/>
    <mergeCell ref="B1:AF1"/>
    <mergeCell ref="AG1:AM1"/>
    <mergeCell ref="A2:AM2"/>
    <mergeCell ref="B3:B4"/>
    <mergeCell ref="C3:C4"/>
    <mergeCell ref="D3:H3"/>
    <mergeCell ref="I3:AM3"/>
    <mergeCell ref="D8:H8"/>
    <mergeCell ref="I8:N8"/>
    <mergeCell ref="A3:A4"/>
    <mergeCell ref="A5:A6"/>
    <mergeCell ref="B5:B6"/>
    <mergeCell ref="C5:C6"/>
    <mergeCell ref="D5:H5"/>
    <mergeCell ref="I5:N5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A15:A16"/>
    <mergeCell ref="B15:B16"/>
    <mergeCell ref="C15:C16"/>
    <mergeCell ref="B21:B22"/>
    <mergeCell ref="C21:C22"/>
    <mergeCell ref="A17:A18"/>
    <mergeCell ref="B17:B18"/>
    <mergeCell ref="C17:C18"/>
    <mergeCell ref="A19:A20"/>
    <mergeCell ref="B19:B20"/>
    <mergeCell ref="C19:C20"/>
    <mergeCell ref="A21:A22"/>
  </mergeCells>
  <conditionalFormatting sqref="D5">
    <cfRule type="containsText" dxfId="7" priority="1" operator="containsText" text="D">
      <formula>NOT(ISERROR(SEARCH(("D"),(D5))))</formula>
    </cfRule>
  </conditionalFormatting>
  <conditionalFormatting sqref="D5">
    <cfRule type="containsText" dxfId="8" priority="2" operator="containsText" text="3">
      <formula>NOT(ISERROR(SEARCH(("3"),(D5))))</formula>
    </cfRule>
  </conditionalFormatting>
  <conditionalFormatting sqref="D5">
    <cfRule type="containsText" dxfId="9" priority="3" operator="containsText" text="2">
      <formula>NOT(ISERROR(SEARCH(("2"),(D5))))</formula>
    </cfRule>
  </conditionalFormatting>
  <conditionalFormatting sqref="D5">
    <cfRule type="containsText" dxfId="10" priority="4" operator="containsText" text="1">
      <formula>NOT(ISERROR(SEARCH(("1"),(D5))))</formula>
    </cfRule>
  </conditionalFormatting>
  <conditionalFormatting sqref="D5">
    <cfRule type="containsText" dxfId="10" priority="5" operator="containsText" text="L">
      <formula>NOT(ISERROR(SEARCH(("L"),(D5))))</formula>
    </cfRule>
  </conditionalFormatting>
  <conditionalFormatting sqref="D5 D6:H6">
    <cfRule type="containsText" dxfId="12" priority="6" operator="containsText" text="ex">
      <formula>NOT(ISERROR(SEARCH(("ex"),(D5))))</formula>
    </cfRule>
  </conditionalFormatting>
  <conditionalFormatting sqref="D5 D6:H6">
    <cfRule type="containsText" dxfId="6" priority="7" operator="containsText" text="curso">
      <formula>NOT(ISERROR(SEARCH(("curso"),(D5))))</formula>
    </cfRule>
  </conditionalFormatting>
  <conditionalFormatting sqref="D5 D6:H6">
    <cfRule type="containsText" dxfId="13" priority="8" operator="containsText" text="indisp">
      <formula>NOT(ISERROR(SEARCH(("indisp"),(D5))))</formula>
    </cfRule>
  </conditionalFormatting>
  <conditionalFormatting sqref="D5 D6:H6">
    <cfRule type="containsText" dxfId="4" priority="9" operator="containsText" text="B A J A">
      <formula>NOT(ISERROR(SEARCH(("B A J A"),(D5))))</formula>
    </cfRule>
  </conditionalFormatting>
  <conditionalFormatting sqref="D5 D6:H6">
    <cfRule type="containsText" dxfId="4" priority="10" operator="containsText" text="BAJA">
      <formula>NOT(ISERROR(SEARCH(("BAJA"),(D5))))</formula>
    </cfRule>
  </conditionalFormatting>
  <conditionalFormatting sqref="D5 D6:H6">
    <cfRule type="containsText" dxfId="4" priority="11" operator="containsText" text="V A C A C I O N E S">
      <formula>NOT(ISERROR(SEARCH(("V A C A C I O N E S"),(D5))))</formula>
    </cfRule>
  </conditionalFormatting>
  <conditionalFormatting sqref="D5 D6:H6">
    <cfRule type="containsText" dxfId="4" priority="12" operator="containsText" text="Vacaciones">
      <formula>NOT(ISERROR(SEARCH(("Vacaciones"),(D5))))</formula>
    </cfRule>
  </conditionalFormatting>
  <conditionalFormatting sqref="D5 D6:H6">
    <cfRule type="containsText" dxfId="6" priority="13" operator="containsText" text="JuB">
      <formula>NOT(ISERROR(SEARCH(("JuB"),(D5))))</formula>
    </cfRule>
  </conditionalFormatting>
  <conditionalFormatting sqref="D5 D6:H6">
    <cfRule type="containsText" dxfId="6" priority="14" operator="containsText" text="JuC">
      <formula>NOT(ISERROR(SEARCH(("JuC"),(D5))))</formula>
    </cfRule>
  </conditionalFormatting>
  <conditionalFormatting sqref="D5 D6:H6">
    <cfRule type="containsText" dxfId="5" priority="15" operator="containsText" text="AP">
      <formula>NOT(ISERROR(SEARCH(("AP"),(D5))))</formula>
    </cfRule>
  </conditionalFormatting>
  <conditionalFormatting sqref="D5 D6:H6">
    <cfRule type="containsText" dxfId="6" priority="16" operator="containsText" text="Ts">
      <formula>NOT(ISERROR(SEARCH(("Ts"),(D5))))</formula>
    </cfRule>
  </conditionalFormatting>
  <conditionalFormatting sqref="D9:H9">
    <cfRule type="containsText" dxfId="7" priority="17" operator="containsText" text="D">
      <formula>NOT(ISERROR(SEARCH(("D"),(D9))))</formula>
    </cfRule>
  </conditionalFormatting>
  <conditionalFormatting sqref="D9:H9">
    <cfRule type="containsText" dxfId="8" priority="18" operator="containsText" text="3">
      <formula>NOT(ISERROR(SEARCH(("3"),(D9))))</formula>
    </cfRule>
  </conditionalFormatting>
  <conditionalFormatting sqref="D9:H9">
    <cfRule type="containsText" dxfId="9" priority="19" operator="containsText" text="2">
      <formula>NOT(ISERROR(SEARCH(("2"),(D9))))</formula>
    </cfRule>
  </conditionalFormatting>
  <conditionalFormatting sqref="D9:H9">
    <cfRule type="containsText" dxfId="10" priority="20" operator="containsText" text="1">
      <formula>NOT(ISERROR(SEARCH(("1"),(D9))))</formula>
    </cfRule>
  </conditionalFormatting>
  <conditionalFormatting sqref="D9:H9">
    <cfRule type="containsText" dxfId="10" priority="21" operator="containsText" text="L">
      <formula>NOT(ISERROR(SEARCH(("L"),(D9))))</formula>
    </cfRule>
  </conditionalFormatting>
  <conditionalFormatting sqref="D9:H10">
    <cfRule type="containsText" dxfId="12" priority="22" operator="containsText" text="ex">
      <formula>NOT(ISERROR(SEARCH(("ex"),(D9))))</formula>
    </cfRule>
  </conditionalFormatting>
  <conditionalFormatting sqref="D9:H10">
    <cfRule type="containsText" dxfId="13" priority="23" operator="containsText" text="indisp">
      <formula>NOT(ISERROR(SEARCH(("indisp"),(D9))))</formula>
    </cfRule>
  </conditionalFormatting>
  <conditionalFormatting sqref="D9:H10">
    <cfRule type="containsText" dxfId="4" priority="24" operator="containsText" text="B A J A">
      <formula>NOT(ISERROR(SEARCH(("B A J A"),(D9))))</formula>
    </cfRule>
  </conditionalFormatting>
  <conditionalFormatting sqref="D9:H10">
    <cfRule type="containsText" dxfId="4" priority="25" operator="containsText" text="BAJA">
      <formula>NOT(ISERROR(SEARCH(("BAJA"),(D9))))</formula>
    </cfRule>
  </conditionalFormatting>
  <conditionalFormatting sqref="D9:H10">
    <cfRule type="containsText" dxfId="4" priority="26" operator="containsText" text="V A C A C I O N E S">
      <formula>NOT(ISERROR(SEARCH(("V A C A C I O N E S"),(D9))))</formula>
    </cfRule>
  </conditionalFormatting>
  <conditionalFormatting sqref="D9:H10">
    <cfRule type="containsText" dxfId="4" priority="27" operator="containsText" text="Vacaciones">
      <formula>NOT(ISERROR(SEARCH(("Vacaciones"),(D9))))</formula>
    </cfRule>
  </conditionalFormatting>
  <conditionalFormatting sqref="D9:H10">
    <cfRule type="containsText" dxfId="6" priority="28" operator="containsText" text="JuB">
      <formula>NOT(ISERROR(SEARCH(("JuB"),(D9))))</formula>
    </cfRule>
  </conditionalFormatting>
  <conditionalFormatting sqref="D9:H10">
    <cfRule type="containsText" dxfId="6" priority="29" operator="containsText" text="JuC">
      <formula>NOT(ISERROR(SEARCH(("JuC"),(D9))))</formula>
    </cfRule>
  </conditionalFormatting>
  <conditionalFormatting sqref="D9:H10">
    <cfRule type="containsText" dxfId="5" priority="30" operator="containsText" text="AP">
      <formula>NOT(ISERROR(SEARCH(("AP"),(D9))))</formula>
    </cfRule>
  </conditionalFormatting>
  <conditionalFormatting sqref="D9:H10">
    <cfRule type="containsText" dxfId="6" priority="31" operator="containsText" text="Ts">
      <formula>NOT(ISERROR(SEARCH(("Ts"),(D9))))</formula>
    </cfRule>
  </conditionalFormatting>
  <conditionalFormatting sqref="D9:H32 D33 D34:H42">
    <cfRule type="containsText" dxfId="6" priority="32" operator="containsText" text="curso">
      <formula>NOT(ISERROR(SEARCH(("curso"),(D9))))</formula>
    </cfRule>
  </conditionalFormatting>
  <conditionalFormatting sqref="D11:H11">
    <cfRule type="containsText" dxfId="7" priority="33" operator="containsText" text="D">
      <formula>NOT(ISERROR(SEARCH(("D"),(D11))))</formula>
    </cfRule>
  </conditionalFormatting>
  <conditionalFormatting sqref="D11:H11">
    <cfRule type="containsText" dxfId="8" priority="34" operator="containsText" text="3">
      <formula>NOT(ISERROR(SEARCH(("3"),(D11))))</formula>
    </cfRule>
  </conditionalFormatting>
  <conditionalFormatting sqref="D11:H11">
    <cfRule type="containsText" dxfId="9" priority="35" operator="containsText" text="2">
      <formula>NOT(ISERROR(SEARCH(("2"),(D11))))</formula>
    </cfRule>
  </conditionalFormatting>
  <conditionalFormatting sqref="D11:H11">
    <cfRule type="containsText" dxfId="10" priority="36" operator="containsText" text="1">
      <formula>NOT(ISERROR(SEARCH(("1"),(D11))))</formula>
    </cfRule>
  </conditionalFormatting>
  <conditionalFormatting sqref="D11:H11">
    <cfRule type="containsText" dxfId="10" priority="37" operator="containsText" text="L">
      <formula>NOT(ISERROR(SEARCH(("L"),(D11))))</formula>
    </cfRule>
  </conditionalFormatting>
  <conditionalFormatting sqref="D11:H12">
    <cfRule type="containsText" dxfId="12" priority="38" operator="containsText" text="ex">
      <formula>NOT(ISERROR(SEARCH(("ex"),(D11))))</formula>
    </cfRule>
  </conditionalFormatting>
  <conditionalFormatting sqref="D11:H12">
    <cfRule type="containsText" dxfId="13" priority="39" operator="containsText" text="indisp">
      <formula>NOT(ISERROR(SEARCH(("indisp"),(D11))))</formula>
    </cfRule>
  </conditionalFormatting>
  <conditionalFormatting sqref="D11:H12">
    <cfRule type="containsText" dxfId="4" priority="40" operator="containsText" text="B A J A">
      <formula>NOT(ISERROR(SEARCH(("B A J A"),(D11))))</formula>
    </cfRule>
  </conditionalFormatting>
  <conditionalFormatting sqref="D11:H12">
    <cfRule type="containsText" dxfId="4" priority="41" operator="containsText" text="BAJA">
      <formula>NOT(ISERROR(SEARCH(("BAJA"),(D11))))</formula>
    </cfRule>
  </conditionalFormatting>
  <conditionalFormatting sqref="D11:H12">
    <cfRule type="containsText" dxfId="4" priority="42" operator="containsText" text="V A C A C I O N E S">
      <formula>NOT(ISERROR(SEARCH(("V A C A C I O N E S"),(D11))))</formula>
    </cfRule>
  </conditionalFormatting>
  <conditionalFormatting sqref="D11:H12">
    <cfRule type="containsText" dxfId="4" priority="43" operator="containsText" text="Vacaciones">
      <formula>NOT(ISERROR(SEARCH(("Vacaciones"),(D11))))</formula>
    </cfRule>
  </conditionalFormatting>
  <conditionalFormatting sqref="D11:H12">
    <cfRule type="containsText" dxfId="6" priority="44" operator="containsText" text="JuB">
      <formula>NOT(ISERROR(SEARCH(("JuB"),(D11))))</formula>
    </cfRule>
  </conditionalFormatting>
  <conditionalFormatting sqref="D11:H12">
    <cfRule type="containsText" dxfId="6" priority="45" operator="containsText" text="JuC">
      <formula>NOT(ISERROR(SEARCH(("JuC"),(D11))))</formula>
    </cfRule>
  </conditionalFormatting>
  <conditionalFormatting sqref="D11:H12">
    <cfRule type="containsText" dxfId="5" priority="46" operator="containsText" text="AP">
      <formula>NOT(ISERROR(SEARCH(("AP"),(D11))))</formula>
    </cfRule>
  </conditionalFormatting>
  <conditionalFormatting sqref="D11:H12">
    <cfRule type="containsText" dxfId="6" priority="47" operator="containsText" text="Ts">
      <formula>NOT(ISERROR(SEARCH(("Ts"),(D11))))</formula>
    </cfRule>
  </conditionalFormatting>
  <conditionalFormatting sqref="D13:H13">
    <cfRule type="containsText" dxfId="7" priority="48" operator="containsText" text="D">
      <formula>NOT(ISERROR(SEARCH(("D"),(D13))))</formula>
    </cfRule>
  </conditionalFormatting>
  <conditionalFormatting sqref="D13:H13">
    <cfRule type="containsText" dxfId="8" priority="49" operator="containsText" text="3">
      <formula>NOT(ISERROR(SEARCH(("3"),(D13))))</formula>
    </cfRule>
  </conditionalFormatting>
  <conditionalFormatting sqref="D13:H13">
    <cfRule type="containsText" dxfId="9" priority="50" operator="containsText" text="2">
      <formula>NOT(ISERROR(SEARCH(("2"),(D13))))</formula>
    </cfRule>
  </conditionalFormatting>
  <conditionalFormatting sqref="D13:H13">
    <cfRule type="containsText" dxfId="10" priority="51" operator="containsText" text="1">
      <formula>NOT(ISERROR(SEARCH(("1"),(D13))))</formula>
    </cfRule>
  </conditionalFormatting>
  <conditionalFormatting sqref="D13:H13">
    <cfRule type="containsText" dxfId="10" priority="52" operator="containsText" text="L">
      <formula>NOT(ISERROR(SEARCH(("L"),(D13))))</formula>
    </cfRule>
  </conditionalFormatting>
  <conditionalFormatting sqref="D13:H14">
    <cfRule type="containsText" dxfId="12" priority="53" operator="containsText" text="ex">
      <formula>NOT(ISERROR(SEARCH(("ex"),(D13))))</formula>
    </cfRule>
  </conditionalFormatting>
  <conditionalFormatting sqref="D13:H14">
    <cfRule type="containsText" dxfId="13" priority="54" operator="containsText" text="indisp">
      <formula>NOT(ISERROR(SEARCH(("indisp"),(D13))))</formula>
    </cfRule>
  </conditionalFormatting>
  <conditionalFormatting sqref="D13:H14">
    <cfRule type="containsText" dxfId="4" priority="55" operator="containsText" text="B A J A">
      <formula>NOT(ISERROR(SEARCH(("B A J A"),(D13))))</formula>
    </cfRule>
  </conditionalFormatting>
  <conditionalFormatting sqref="D13:H14">
    <cfRule type="containsText" dxfId="4" priority="56" operator="containsText" text="BAJA">
      <formula>NOT(ISERROR(SEARCH(("BAJA"),(D13))))</formula>
    </cfRule>
  </conditionalFormatting>
  <conditionalFormatting sqref="D13:H14">
    <cfRule type="containsText" dxfId="4" priority="57" operator="containsText" text="V A C A C I O N E S">
      <formula>NOT(ISERROR(SEARCH(("V A C A C I O N E S"),(D13))))</formula>
    </cfRule>
  </conditionalFormatting>
  <conditionalFormatting sqref="D13:H14">
    <cfRule type="containsText" dxfId="4" priority="58" operator="containsText" text="Vacaciones">
      <formula>NOT(ISERROR(SEARCH(("Vacaciones"),(D13))))</formula>
    </cfRule>
  </conditionalFormatting>
  <conditionalFormatting sqref="D13:H14">
    <cfRule type="containsText" dxfId="6" priority="59" operator="containsText" text="JuB">
      <formula>NOT(ISERROR(SEARCH(("JuB"),(D13))))</formula>
    </cfRule>
  </conditionalFormatting>
  <conditionalFormatting sqref="D13:H14">
    <cfRule type="containsText" dxfId="6" priority="60" operator="containsText" text="JuC">
      <formula>NOT(ISERROR(SEARCH(("JuC"),(D13))))</formula>
    </cfRule>
  </conditionalFormatting>
  <conditionalFormatting sqref="D13:H14">
    <cfRule type="containsText" dxfId="5" priority="61" operator="containsText" text="AP">
      <formula>NOT(ISERROR(SEARCH(("AP"),(D13))))</formula>
    </cfRule>
  </conditionalFormatting>
  <conditionalFormatting sqref="D13:H14">
    <cfRule type="containsText" dxfId="6" priority="62" operator="containsText" text="Ts">
      <formula>NOT(ISERROR(SEARCH(("Ts"),(D13))))</formula>
    </cfRule>
  </conditionalFormatting>
  <conditionalFormatting sqref="D15:H15">
    <cfRule type="containsText" dxfId="7" priority="63" operator="containsText" text="D">
      <formula>NOT(ISERROR(SEARCH(("D"),(D15))))</formula>
    </cfRule>
  </conditionalFormatting>
  <conditionalFormatting sqref="D15:H15">
    <cfRule type="containsText" dxfId="8" priority="64" operator="containsText" text="3">
      <formula>NOT(ISERROR(SEARCH(("3"),(D15))))</formula>
    </cfRule>
  </conditionalFormatting>
  <conditionalFormatting sqref="D15:H15">
    <cfRule type="containsText" dxfId="9" priority="65" operator="containsText" text="2">
      <formula>NOT(ISERROR(SEARCH(("2"),(D15))))</formula>
    </cfRule>
  </conditionalFormatting>
  <conditionalFormatting sqref="D15:H15">
    <cfRule type="containsText" dxfId="10" priority="66" operator="containsText" text="1">
      <formula>NOT(ISERROR(SEARCH(("1"),(D15))))</formula>
    </cfRule>
  </conditionalFormatting>
  <conditionalFormatting sqref="D15:H15">
    <cfRule type="containsText" dxfId="10" priority="67" operator="containsText" text="L">
      <formula>NOT(ISERROR(SEARCH(("L"),(D15))))</formula>
    </cfRule>
  </conditionalFormatting>
  <conditionalFormatting sqref="D15:H16">
    <cfRule type="containsText" dxfId="12" priority="68" operator="containsText" text="ex">
      <formula>NOT(ISERROR(SEARCH(("ex"),(D15))))</formula>
    </cfRule>
  </conditionalFormatting>
  <conditionalFormatting sqref="D15:H16">
    <cfRule type="containsText" dxfId="13" priority="69" operator="containsText" text="indisp">
      <formula>NOT(ISERROR(SEARCH(("indisp"),(D15))))</formula>
    </cfRule>
  </conditionalFormatting>
  <conditionalFormatting sqref="D15:H16">
    <cfRule type="containsText" dxfId="4" priority="70" operator="containsText" text="B A J A">
      <formula>NOT(ISERROR(SEARCH(("B A J A"),(D15))))</formula>
    </cfRule>
  </conditionalFormatting>
  <conditionalFormatting sqref="D15:H16">
    <cfRule type="containsText" dxfId="4" priority="71" operator="containsText" text="BAJA">
      <formula>NOT(ISERROR(SEARCH(("BAJA"),(D15))))</formula>
    </cfRule>
  </conditionalFormatting>
  <conditionalFormatting sqref="D15:H16">
    <cfRule type="containsText" dxfId="4" priority="72" operator="containsText" text="V A C A C I O N E S">
      <formula>NOT(ISERROR(SEARCH(("V A C A C I O N E S"),(D15))))</formula>
    </cfRule>
  </conditionalFormatting>
  <conditionalFormatting sqref="D15:H16">
    <cfRule type="containsText" dxfId="4" priority="73" operator="containsText" text="Vacaciones">
      <formula>NOT(ISERROR(SEARCH(("Vacaciones"),(D15))))</formula>
    </cfRule>
  </conditionalFormatting>
  <conditionalFormatting sqref="D15:H16">
    <cfRule type="containsText" dxfId="6" priority="74" operator="containsText" text="JuB">
      <formula>NOT(ISERROR(SEARCH(("JuB"),(D15))))</formula>
    </cfRule>
  </conditionalFormatting>
  <conditionalFormatting sqref="D15:H16">
    <cfRule type="containsText" dxfId="6" priority="75" operator="containsText" text="JuC">
      <formula>NOT(ISERROR(SEARCH(("JuC"),(D15))))</formula>
    </cfRule>
  </conditionalFormatting>
  <conditionalFormatting sqref="D15:H16">
    <cfRule type="containsText" dxfId="5" priority="76" operator="containsText" text="AP">
      <formula>NOT(ISERROR(SEARCH(("AP"),(D15))))</formula>
    </cfRule>
  </conditionalFormatting>
  <conditionalFormatting sqref="D15:H16">
    <cfRule type="containsText" dxfId="6" priority="77" operator="containsText" text="Ts">
      <formula>NOT(ISERROR(SEARCH(("Ts"),(D15))))</formula>
    </cfRule>
  </conditionalFormatting>
  <conditionalFormatting sqref="D17:H17">
    <cfRule type="containsText" dxfId="7" priority="78" operator="containsText" text="D">
      <formula>NOT(ISERROR(SEARCH(("D"),(D17))))</formula>
    </cfRule>
  </conditionalFormatting>
  <conditionalFormatting sqref="D17:H17">
    <cfRule type="containsText" dxfId="8" priority="79" operator="containsText" text="3">
      <formula>NOT(ISERROR(SEARCH(("3"),(D17))))</formula>
    </cfRule>
  </conditionalFormatting>
  <conditionalFormatting sqref="D17:H17">
    <cfRule type="containsText" dxfId="9" priority="80" operator="containsText" text="2">
      <formula>NOT(ISERROR(SEARCH(("2"),(D17))))</formula>
    </cfRule>
  </conditionalFormatting>
  <conditionalFormatting sqref="D17:H17">
    <cfRule type="containsText" dxfId="10" priority="81" operator="containsText" text="1">
      <formula>NOT(ISERROR(SEARCH(("1"),(D17))))</formula>
    </cfRule>
  </conditionalFormatting>
  <conditionalFormatting sqref="D17:H17">
    <cfRule type="containsText" dxfId="10" priority="82" operator="containsText" text="L">
      <formula>NOT(ISERROR(SEARCH(("L"),(D17))))</formula>
    </cfRule>
  </conditionalFormatting>
  <conditionalFormatting sqref="D17:H18">
    <cfRule type="containsText" dxfId="12" priority="83" operator="containsText" text="ex">
      <formula>NOT(ISERROR(SEARCH(("ex"),(D17))))</formula>
    </cfRule>
  </conditionalFormatting>
  <conditionalFormatting sqref="D17:H18">
    <cfRule type="containsText" dxfId="13" priority="84" operator="containsText" text="indisp">
      <formula>NOT(ISERROR(SEARCH(("indisp"),(D17))))</formula>
    </cfRule>
  </conditionalFormatting>
  <conditionalFormatting sqref="D17:H18">
    <cfRule type="containsText" dxfId="4" priority="85" operator="containsText" text="B A J A">
      <formula>NOT(ISERROR(SEARCH(("B A J A"),(D17))))</formula>
    </cfRule>
  </conditionalFormatting>
  <conditionalFormatting sqref="D17:H18">
    <cfRule type="containsText" dxfId="4" priority="86" operator="containsText" text="BAJA">
      <formula>NOT(ISERROR(SEARCH(("BAJA"),(D17))))</formula>
    </cfRule>
  </conditionalFormatting>
  <conditionalFormatting sqref="D17:H18">
    <cfRule type="containsText" dxfId="4" priority="87" operator="containsText" text="V A C A C I O N E S">
      <formula>NOT(ISERROR(SEARCH(("V A C A C I O N E S"),(D17))))</formula>
    </cfRule>
  </conditionalFormatting>
  <conditionalFormatting sqref="D17:H18">
    <cfRule type="containsText" dxfId="4" priority="88" operator="containsText" text="Vacaciones">
      <formula>NOT(ISERROR(SEARCH(("Vacaciones"),(D17))))</formula>
    </cfRule>
  </conditionalFormatting>
  <conditionalFormatting sqref="D17:H18">
    <cfRule type="containsText" dxfId="6" priority="89" operator="containsText" text="JuB">
      <formula>NOT(ISERROR(SEARCH(("JuB"),(D17))))</formula>
    </cfRule>
  </conditionalFormatting>
  <conditionalFormatting sqref="D17:H18">
    <cfRule type="containsText" dxfId="6" priority="90" operator="containsText" text="JuC">
      <formula>NOT(ISERROR(SEARCH(("JuC"),(D17))))</formula>
    </cfRule>
  </conditionalFormatting>
  <conditionalFormatting sqref="D17:H18">
    <cfRule type="containsText" dxfId="5" priority="91" operator="containsText" text="AP">
      <formula>NOT(ISERROR(SEARCH(("AP"),(D17))))</formula>
    </cfRule>
  </conditionalFormatting>
  <conditionalFormatting sqref="D17:H18">
    <cfRule type="containsText" dxfId="6" priority="92" operator="containsText" text="Ts">
      <formula>NOT(ISERROR(SEARCH(("Ts"),(D17))))</formula>
    </cfRule>
  </conditionalFormatting>
  <conditionalFormatting sqref="D19:H19">
    <cfRule type="containsText" dxfId="7" priority="93" operator="containsText" text="D">
      <formula>NOT(ISERROR(SEARCH(("D"),(D19))))</formula>
    </cfRule>
  </conditionalFormatting>
  <conditionalFormatting sqref="D19:H19">
    <cfRule type="containsText" dxfId="8" priority="94" operator="containsText" text="3">
      <formula>NOT(ISERROR(SEARCH(("3"),(D19))))</formula>
    </cfRule>
  </conditionalFormatting>
  <conditionalFormatting sqref="D19:H19">
    <cfRule type="containsText" dxfId="9" priority="95" operator="containsText" text="2">
      <formula>NOT(ISERROR(SEARCH(("2"),(D19))))</formula>
    </cfRule>
  </conditionalFormatting>
  <conditionalFormatting sqref="D19:H19">
    <cfRule type="containsText" dxfId="10" priority="96" operator="containsText" text="1">
      <formula>NOT(ISERROR(SEARCH(("1"),(D19))))</formula>
    </cfRule>
  </conditionalFormatting>
  <conditionalFormatting sqref="D19:H19">
    <cfRule type="containsText" dxfId="10" priority="97" operator="containsText" text="L">
      <formula>NOT(ISERROR(SEARCH(("L"),(D19))))</formula>
    </cfRule>
  </conditionalFormatting>
  <conditionalFormatting sqref="D19:H20">
    <cfRule type="containsText" dxfId="12" priority="98" operator="containsText" text="ex">
      <formula>NOT(ISERROR(SEARCH(("ex"),(D19))))</formula>
    </cfRule>
  </conditionalFormatting>
  <conditionalFormatting sqref="D19:H20">
    <cfRule type="containsText" dxfId="13" priority="99" operator="containsText" text="indisp">
      <formula>NOT(ISERROR(SEARCH(("indisp"),(D19))))</formula>
    </cfRule>
  </conditionalFormatting>
  <conditionalFormatting sqref="D19:H20">
    <cfRule type="containsText" dxfId="4" priority="100" operator="containsText" text="B A J A">
      <formula>NOT(ISERROR(SEARCH(("B A J A"),(D19))))</formula>
    </cfRule>
  </conditionalFormatting>
  <conditionalFormatting sqref="D19:H20">
    <cfRule type="containsText" dxfId="4" priority="101" operator="containsText" text="BAJA">
      <formula>NOT(ISERROR(SEARCH(("BAJA"),(D19))))</formula>
    </cfRule>
  </conditionalFormatting>
  <conditionalFormatting sqref="D19:H20">
    <cfRule type="containsText" dxfId="4" priority="102" operator="containsText" text="V A C A C I O N E S">
      <formula>NOT(ISERROR(SEARCH(("V A C A C I O N E S"),(D19))))</formula>
    </cfRule>
  </conditionalFormatting>
  <conditionalFormatting sqref="D19:H20">
    <cfRule type="containsText" dxfId="4" priority="103" operator="containsText" text="Vacaciones">
      <formula>NOT(ISERROR(SEARCH(("Vacaciones"),(D19))))</formula>
    </cfRule>
  </conditionalFormatting>
  <conditionalFormatting sqref="D19:H20">
    <cfRule type="containsText" dxfId="6" priority="104" operator="containsText" text="JuB">
      <formula>NOT(ISERROR(SEARCH(("JuB"),(D19))))</formula>
    </cfRule>
  </conditionalFormatting>
  <conditionalFormatting sqref="D19:H20">
    <cfRule type="containsText" dxfId="6" priority="105" operator="containsText" text="JuC">
      <formula>NOT(ISERROR(SEARCH(("JuC"),(D19))))</formula>
    </cfRule>
  </conditionalFormatting>
  <conditionalFormatting sqref="D19:H20">
    <cfRule type="containsText" dxfId="5" priority="106" operator="containsText" text="AP">
      <formula>NOT(ISERROR(SEARCH(("AP"),(D19))))</formula>
    </cfRule>
  </conditionalFormatting>
  <conditionalFormatting sqref="D19:H20">
    <cfRule type="containsText" dxfId="6" priority="107" operator="containsText" text="Ts">
      <formula>NOT(ISERROR(SEARCH(("Ts"),(D19))))</formula>
    </cfRule>
  </conditionalFormatting>
  <conditionalFormatting sqref="D21:H21">
    <cfRule type="containsText" dxfId="7" priority="108" operator="containsText" text="D">
      <formula>NOT(ISERROR(SEARCH(("D"),(D21))))</formula>
    </cfRule>
  </conditionalFormatting>
  <conditionalFormatting sqref="D21:H21">
    <cfRule type="containsText" dxfId="8" priority="109" operator="containsText" text="3">
      <formula>NOT(ISERROR(SEARCH(("3"),(D21))))</formula>
    </cfRule>
  </conditionalFormatting>
  <conditionalFormatting sqref="D21:H21">
    <cfRule type="containsText" dxfId="9" priority="110" operator="containsText" text="2">
      <formula>NOT(ISERROR(SEARCH(("2"),(D21))))</formula>
    </cfRule>
  </conditionalFormatting>
  <conditionalFormatting sqref="D21:H21">
    <cfRule type="containsText" dxfId="10" priority="111" operator="containsText" text="1">
      <formula>NOT(ISERROR(SEARCH(("1"),(D21))))</formula>
    </cfRule>
  </conditionalFormatting>
  <conditionalFormatting sqref="D21:H21">
    <cfRule type="containsText" dxfId="10" priority="112" operator="containsText" text="L">
      <formula>NOT(ISERROR(SEARCH(("L"),(D21))))</formula>
    </cfRule>
  </conditionalFormatting>
  <conditionalFormatting sqref="D21:H22">
    <cfRule type="containsText" dxfId="12" priority="113" operator="containsText" text="ex">
      <formula>NOT(ISERROR(SEARCH(("ex"),(D21))))</formula>
    </cfRule>
  </conditionalFormatting>
  <conditionalFormatting sqref="D21:H22">
    <cfRule type="containsText" dxfId="13" priority="114" operator="containsText" text="indisp">
      <formula>NOT(ISERROR(SEARCH(("indisp"),(D21))))</formula>
    </cfRule>
  </conditionalFormatting>
  <conditionalFormatting sqref="D21:H22">
    <cfRule type="containsText" dxfId="4" priority="115" operator="containsText" text="B A J A">
      <formula>NOT(ISERROR(SEARCH(("B A J A"),(D21))))</formula>
    </cfRule>
  </conditionalFormatting>
  <conditionalFormatting sqref="D21:H22">
    <cfRule type="containsText" dxfId="4" priority="116" operator="containsText" text="BAJA">
      <formula>NOT(ISERROR(SEARCH(("BAJA"),(D21))))</formula>
    </cfRule>
  </conditionalFormatting>
  <conditionalFormatting sqref="D21:H22">
    <cfRule type="containsText" dxfId="4" priority="117" operator="containsText" text="V A C A C I O N E S">
      <formula>NOT(ISERROR(SEARCH(("V A C A C I O N E S"),(D21))))</formula>
    </cfRule>
  </conditionalFormatting>
  <conditionalFormatting sqref="D21:H22">
    <cfRule type="containsText" dxfId="4" priority="118" operator="containsText" text="Vacaciones">
      <formula>NOT(ISERROR(SEARCH(("Vacaciones"),(D21))))</formula>
    </cfRule>
  </conditionalFormatting>
  <conditionalFormatting sqref="D21:H22">
    <cfRule type="containsText" dxfId="6" priority="119" operator="containsText" text="JuB">
      <formula>NOT(ISERROR(SEARCH(("JuB"),(D21))))</formula>
    </cfRule>
  </conditionalFormatting>
  <conditionalFormatting sqref="D21:H22">
    <cfRule type="containsText" dxfId="6" priority="120" operator="containsText" text="JuC">
      <formula>NOT(ISERROR(SEARCH(("JuC"),(D21))))</formula>
    </cfRule>
  </conditionalFormatting>
  <conditionalFormatting sqref="D21:H22">
    <cfRule type="containsText" dxfId="5" priority="121" operator="containsText" text="AP">
      <formula>NOT(ISERROR(SEARCH(("AP"),(D21))))</formula>
    </cfRule>
  </conditionalFormatting>
  <conditionalFormatting sqref="D21:H22">
    <cfRule type="containsText" dxfId="6" priority="122" operator="containsText" text="Ts">
      <formula>NOT(ISERROR(SEARCH(("Ts"),(D21))))</formula>
    </cfRule>
  </conditionalFormatting>
  <conditionalFormatting sqref="D23:H23">
    <cfRule type="containsText" dxfId="7" priority="123" operator="containsText" text="D">
      <formula>NOT(ISERROR(SEARCH(("D"),(D23))))</formula>
    </cfRule>
  </conditionalFormatting>
  <conditionalFormatting sqref="D23:H23">
    <cfRule type="containsText" dxfId="8" priority="124" operator="containsText" text="3">
      <formula>NOT(ISERROR(SEARCH(("3"),(D23))))</formula>
    </cfRule>
  </conditionalFormatting>
  <conditionalFormatting sqref="D23:H23">
    <cfRule type="containsText" dxfId="9" priority="125" operator="containsText" text="2">
      <formula>NOT(ISERROR(SEARCH(("2"),(D23))))</formula>
    </cfRule>
  </conditionalFormatting>
  <conditionalFormatting sqref="D23:H23">
    <cfRule type="containsText" dxfId="10" priority="126" operator="containsText" text="1">
      <formula>NOT(ISERROR(SEARCH(("1"),(D23))))</formula>
    </cfRule>
  </conditionalFormatting>
  <conditionalFormatting sqref="D23:H23">
    <cfRule type="containsText" dxfId="10" priority="127" operator="containsText" text="L">
      <formula>NOT(ISERROR(SEARCH(("L"),(D23))))</formula>
    </cfRule>
  </conditionalFormatting>
  <conditionalFormatting sqref="D23:H24">
    <cfRule type="containsText" dxfId="12" priority="128" operator="containsText" text="ex">
      <formula>NOT(ISERROR(SEARCH(("ex"),(D23))))</formula>
    </cfRule>
  </conditionalFormatting>
  <conditionalFormatting sqref="D23:H24">
    <cfRule type="containsText" dxfId="13" priority="129" operator="containsText" text="indisp">
      <formula>NOT(ISERROR(SEARCH(("indisp"),(D23))))</formula>
    </cfRule>
  </conditionalFormatting>
  <conditionalFormatting sqref="D23:H24">
    <cfRule type="containsText" dxfId="4" priority="130" operator="containsText" text="B A J A">
      <formula>NOT(ISERROR(SEARCH(("B A J A"),(D23))))</formula>
    </cfRule>
  </conditionalFormatting>
  <conditionalFormatting sqref="D23:H24">
    <cfRule type="containsText" dxfId="4" priority="131" operator="containsText" text="BAJA">
      <formula>NOT(ISERROR(SEARCH(("BAJA"),(D23))))</formula>
    </cfRule>
  </conditionalFormatting>
  <conditionalFormatting sqref="D23:H24">
    <cfRule type="containsText" dxfId="4" priority="132" operator="containsText" text="V A C A C I O N E S">
      <formula>NOT(ISERROR(SEARCH(("V A C A C I O N E S"),(D23))))</formula>
    </cfRule>
  </conditionalFormatting>
  <conditionalFormatting sqref="D23:H24">
    <cfRule type="containsText" dxfId="4" priority="133" operator="containsText" text="Vacaciones">
      <formula>NOT(ISERROR(SEARCH(("Vacaciones"),(D23))))</formula>
    </cfRule>
  </conditionalFormatting>
  <conditionalFormatting sqref="D23:H24">
    <cfRule type="containsText" dxfId="6" priority="134" operator="containsText" text="JuB">
      <formula>NOT(ISERROR(SEARCH(("JuB"),(D23))))</formula>
    </cfRule>
  </conditionalFormatting>
  <conditionalFormatting sqref="D23:H24">
    <cfRule type="containsText" dxfId="6" priority="135" operator="containsText" text="JuC">
      <formula>NOT(ISERROR(SEARCH(("JuC"),(D23))))</formula>
    </cfRule>
  </conditionalFormatting>
  <conditionalFormatting sqref="D23:H24">
    <cfRule type="containsText" dxfId="5" priority="136" operator="containsText" text="AP">
      <formula>NOT(ISERROR(SEARCH(("AP"),(D23))))</formula>
    </cfRule>
  </conditionalFormatting>
  <conditionalFormatting sqref="D23:H24">
    <cfRule type="containsText" dxfId="6" priority="137" operator="containsText" text="Ts">
      <formula>NOT(ISERROR(SEARCH(("Ts"),(D23))))</formula>
    </cfRule>
  </conditionalFormatting>
  <conditionalFormatting sqref="D25:H25">
    <cfRule type="containsText" dxfId="7" priority="138" operator="containsText" text="D">
      <formula>NOT(ISERROR(SEARCH(("D"),(D25))))</formula>
    </cfRule>
  </conditionalFormatting>
  <conditionalFormatting sqref="D25:H25">
    <cfRule type="containsText" dxfId="8" priority="139" operator="containsText" text="3">
      <formula>NOT(ISERROR(SEARCH(("3"),(D25))))</formula>
    </cfRule>
  </conditionalFormatting>
  <conditionalFormatting sqref="D25:H25">
    <cfRule type="containsText" dxfId="9" priority="140" operator="containsText" text="2">
      <formula>NOT(ISERROR(SEARCH(("2"),(D25))))</formula>
    </cfRule>
  </conditionalFormatting>
  <conditionalFormatting sqref="D25:H25">
    <cfRule type="containsText" dxfId="10" priority="141" operator="containsText" text="1">
      <formula>NOT(ISERROR(SEARCH(("1"),(D25))))</formula>
    </cfRule>
  </conditionalFormatting>
  <conditionalFormatting sqref="D25:H25">
    <cfRule type="containsText" dxfId="10" priority="142" operator="containsText" text="L">
      <formula>NOT(ISERROR(SEARCH(("L"),(D25))))</formula>
    </cfRule>
  </conditionalFormatting>
  <conditionalFormatting sqref="D25:H26">
    <cfRule type="containsText" dxfId="12" priority="143" operator="containsText" text="ex">
      <formula>NOT(ISERROR(SEARCH(("ex"),(D25))))</formula>
    </cfRule>
  </conditionalFormatting>
  <conditionalFormatting sqref="D25:H26">
    <cfRule type="containsText" dxfId="13" priority="144" operator="containsText" text="indisp">
      <formula>NOT(ISERROR(SEARCH(("indisp"),(D25))))</formula>
    </cfRule>
  </conditionalFormatting>
  <conditionalFormatting sqref="D25:H26">
    <cfRule type="containsText" dxfId="4" priority="145" operator="containsText" text="B A J A">
      <formula>NOT(ISERROR(SEARCH(("B A J A"),(D25))))</formula>
    </cfRule>
  </conditionalFormatting>
  <conditionalFormatting sqref="D25:H26">
    <cfRule type="containsText" dxfId="4" priority="146" operator="containsText" text="BAJA">
      <formula>NOT(ISERROR(SEARCH(("BAJA"),(D25))))</formula>
    </cfRule>
  </conditionalFormatting>
  <conditionalFormatting sqref="D25:H26">
    <cfRule type="containsText" dxfId="4" priority="147" operator="containsText" text="V A C A C I O N E S">
      <formula>NOT(ISERROR(SEARCH(("V A C A C I O N E S"),(D25))))</formula>
    </cfRule>
  </conditionalFormatting>
  <conditionalFormatting sqref="D25:H26">
    <cfRule type="containsText" dxfId="4" priority="148" operator="containsText" text="Vacaciones">
      <formula>NOT(ISERROR(SEARCH(("Vacaciones"),(D25))))</formula>
    </cfRule>
  </conditionalFormatting>
  <conditionalFormatting sqref="D25:H26">
    <cfRule type="containsText" dxfId="6" priority="149" operator="containsText" text="JuB">
      <formula>NOT(ISERROR(SEARCH(("JuB"),(D25))))</formula>
    </cfRule>
  </conditionalFormatting>
  <conditionalFormatting sqref="D25:H26">
    <cfRule type="containsText" dxfId="6" priority="150" operator="containsText" text="JuC">
      <formula>NOT(ISERROR(SEARCH(("JuC"),(D25))))</formula>
    </cfRule>
  </conditionalFormatting>
  <conditionalFormatting sqref="D25:H26">
    <cfRule type="containsText" dxfId="5" priority="151" operator="containsText" text="AP">
      <formula>NOT(ISERROR(SEARCH(("AP"),(D25))))</formula>
    </cfRule>
  </conditionalFormatting>
  <conditionalFormatting sqref="D25:H26">
    <cfRule type="containsText" dxfId="6" priority="152" operator="containsText" text="Ts">
      <formula>NOT(ISERROR(SEARCH(("Ts"),(D25))))</formula>
    </cfRule>
  </conditionalFormatting>
  <conditionalFormatting sqref="D27:H27">
    <cfRule type="containsText" dxfId="7" priority="153" operator="containsText" text="D">
      <formula>NOT(ISERROR(SEARCH(("D"),(D27))))</formula>
    </cfRule>
  </conditionalFormatting>
  <conditionalFormatting sqref="D27:H27">
    <cfRule type="containsText" dxfId="8" priority="154" operator="containsText" text="3">
      <formula>NOT(ISERROR(SEARCH(("3"),(D27))))</formula>
    </cfRule>
  </conditionalFormatting>
  <conditionalFormatting sqref="D27:H27">
    <cfRule type="containsText" dxfId="9" priority="155" operator="containsText" text="2">
      <formula>NOT(ISERROR(SEARCH(("2"),(D27))))</formula>
    </cfRule>
  </conditionalFormatting>
  <conditionalFormatting sqref="D27:H27">
    <cfRule type="containsText" dxfId="10" priority="156" operator="containsText" text="1">
      <formula>NOT(ISERROR(SEARCH(("1"),(D27))))</formula>
    </cfRule>
  </conditionalFormatting>
  <conditionalFormatting sqref="D27:H27">
    <cfRule type="containsText" dxfId="10" priority="157" operator="containsText" text="L">
      <formula>NOT(ISERROR(SEARCH(("L"),(D27))))</formula>
    </cfRule>
  </conditionalFormatting>
  <conditionalFormatting sqref="D27:H28">
    <cfRule type="containsText" dxfId="12" priority="158" operator="containsText" text="ex">
      <formula>NOT(ISERROR(SEARCH(("ex"),(D27))))</formula>
    </cfRule>
  </conditionalFormatting>
  <conditionalFormatting sqref="D27:H28">
    <cfRule type="containsText" dxfId="13" priority="159" operator="containsText" text="indisp">
      <formula>NOT(ISERROR(SEARCH(("indisp"),(D27))))</formula>
    </cfRule>
  </conditionalFormatting>
  <conditionalFormatting sqref="D27:H28">
    <cfRule type="containsText" dxfId="4" priority="160" operator="containsText" text="B A J A">
      <formula>NOT(ISERROR(SEARCH(("B A J A"),(D27))))</formula>
    </cfRule>
  </conditionalFormatting>
  <conditionalFormatting sqref="D27:H28">
    <cfRule type="containsText" dxfId="4" priority="161" operator="containsText" text="BAJA">
      <formula>NOT(ISERROR(SEARCH(("BAJA"),(D27))))</formula>
    </cfRule>
  </conditionalFormatting>
  <conditionalFormatting sqref="D27:H28">
    <cfRule type="containsText" dxfId="4" priority="162" operator="containsText" text="V A C A C I O N E S">
      <formula>NOT(ISERROR(SEARCH(("V A C A C I O N E S"),(D27))))</formula>
    </cfRule>
  </conditionalFormatting>
  <conditionalFormatting sqref="D27:H28">
    <cfRule type="containsText" dxfId="4" priority="163" operator="containsText" text="Vacaciones">
      <formula>NOT(ISERROR(SEARCH(("Vacaciones"),(D27))))</formula>
    </cfRule>
  </conditionalFormatting>
  <conditionalFormatting sqref="D27:H28">
    <cfRule type="containsText" dxfId="6" priority="164" operator="containsText" text="JuB">
      <formula>NOT(ISERROR(SEARCH(("JuB"),(D27))))</formula>
    </cfRule>
  </conditionalFormatting>
  <conditionalFormatting sqref="D27:H28">
    <cfRule type="containsText" dxfId="6" priority="165" operator="containsText" text="JuC">
      <formula>NOT(ISERROR(SEARCH(("JuC"),(D27))))</formula>
    </cfRule>
  </conditionalFormatting>
  <conditionalFormatting sqref="D27:H28">
    <cfRule type="containsText" dxfId="5" priority="166" operator="containsText" text="AP">
      <formula>NOT(ISERROR(SEARCH(("AP"),(D27))))</formula>
    </cfRule>
  </conditionalFormatting>
  <conditionalFormatting sqref="D27:H28">
    <cfRule type="containsText" dxfId="6" priority="167" operator="containsText" text="Ts">
      <formula>NOT(ISERROR(SEARCH(("Ts"),(D27))))</formula>
    </cfRule>
  </conditionalFormatting>
  <conditionalFormatting sqref="D29:H29">
    <cfRule type="containsText" dxfId="7" priority="168" operator="containsText" text="D">
      <formula>NOT(ISERROR(SEARCH(("D"),(D29))))</formula>
    </cfRule>
  </conditionalFormatting>
  <conditionalFormatting sqref="D29:H29">
    <cfRule type="containsText" dxfId="8" priority="169" operator="containsText" text="3">
      <formula>NOT(ISERROR(SEARCH(("3"),(D29))))</formula>
    </cfRule>
  </conditionalFormatting>
  <conditionalFormatting sqref="D29:H29">
    <cfRule type="containsText" dxfId="9" priority="170" operator="containsText" text="2">
      <formula>NOT(ISERROR(SEARCH(("2"),(D29))))</formula>
    </cfRule>
  </conditionalFormatting>
  <conditionalFormatting sqref="D29:H29">
    <cfRule type="containsText" dxfId="10" priority="171" operator="containsText" text="1">
      <formula>NOT(ISERROR(SEARCH(("1"),(D29))))</formula>
    </cfRule>
  </conditionalFormatting>
  <conditionalFormatting sqref="D29:H29">
    <cfRule type="containsText" dxfId="10" priority="172" operator="containsText" text="L">
      <formula>NOT(ISERROR(SEARCH(("L"),(D29))))</formula>
    </cfRule>
  </conditionalFormatting>
  <conditionalFormatting sqref="D29:H30">
    <cfRule type="containsText" dxfId="12" priority="173" operator="containsText" text="ex">
      <formula>NOT(ISERROR(SEARCH(("ex"),(D29))))</formula>
    </cfRule>
  </conditionalFormatting>
  <conditionalFormatting sqref="D29:H30">
    <cfRule type="containsText" dxfId="13" priority="174" operator="containsText" text="indisp">
      <formula>NOT(ISERROR(SEARCH(("indisp"),(D29))))</formula>
    </cfRule>
  </conditionalFormatting>
  <conditionalFormatting sqref="D29:H30">
    <cfRule type="containsText" dxfId="4" priority="175" operator="containsText" text="B A J A">
      <formula>NOT(ISERROR(SEARCH(("B A J A"),(D29))))</formula>
    </cfRule>
  </conditionalFormatting>
  <conditionalFormatting sqref="D29:H30">
    <cfRule type="containsText" dxfId="4" priority="176" operator="containsText" text="BAJA">
      <formula>NOT(ISERROR(SEARCH(("BAJA"),(D29))))</formula>
    </cfRule>
  </conditionalFormatting>
  <conditionalFormatting sqref="D29:H30">
    <cfRule type="containsText" dxfId="4" priority="177" operator="containsText" text="V A C A C I O N E S">
      <formula>NOT(ISERROR(SEARCH(("V A C A C I O N E S"),(D29))))</formula>
    </cfRule>
  </conditionalFormatting>
  <conditionalFormatting sqref="D29:H30">
    <cfRule type="containsText" dxfId="4" priority="178" operator="containsText" text="Vacaciones">
      <formula>NOT(ISERROR(SEARCH(("Vacaciones"),(D29))))</formula>
    </cfRule>
  </conditionalFormatting>
  <conditionalFormatting sqref="D29:H30">
    <cfRule type="containsText" dxfId="6" priority="179" operator="containsText" text="JuB">
      <formula>NOT(ISERROR(SEARCH(("JuB"),(D29))))</formula>
    </cfRule>
  </conditionalFormatting>
  <conditionalFormatting sqref="D29:H30">
    <cfRule type="containsText" dxfId="6" priority="180" operator="containsText" text="JuC">
      <formula>NOT(ISERROR(SEARCH(("JuC"),(D29))))</formula>
    </cfRule>
  </conditionalFormatting>
  <conditionalFormatting sqref="D29:H30">
    <cfRule type="containsText" dxfId="5" priority="181" operator="containsText" text="AP">
      <formula>NOT(ISERROR(SEARCH(("AP"),(D29))))</formula>
    </cfRule>
  </conditionalFormatting>
  <conditionalFormatting sqref="D29:H30">
    <cfRule type="containsText" dxfId="6" priority="182" operator="containsText" text="Ts">
      <formula>NOT(ISERROR(SEARCH(("Ts"),(D29))))</formula>
    </cfRule>
  </conditionalFormatting>
  <conditionalFormatting sqref="D31:H31">
    <cfRule type="containsText" dxfId="7" priority="183" operator="containsText" text="D">
      <formula>NOT(ISERROR(SEARCH(("D"),(D31))))</formula>
    </cfRule>
  </conditionalFormatting>
  <conditionalFormatting sqref="D31:H31">
    <cfRule type="containsText" dxfId="8" priority="184" operator="containsText" text="3">
      <formula>NOT(ISERROR(SEARCH(("3"),(D31))))</formula>
    </cfRule>
  </conditionalFormatting>
  <conditionalFormatting sqref="D31:H31">
    <cfRule type="containsText" dxfId="9" priority="185" operator="containsText" text="2">
      <formula>NOT(ISERROR(SEARCH(("2"),(D31))))</formula>
    </cfRule>
  </conditionalFormatting>
  <conditionalFormatting sqref="D31:H31">
    <cfRule type="containsText" dxfId="10" priority="186" operator="containsText" text="1">
      <formula>NOT(ISERROR(SEARCH(("1"),(D31))))</formula>
    </cfRule>
  </conditionalFormatting>
  <conditionalFormatting sqref="D31:H31">
    <cfRule type="containsText" dxfId="10" priority="187" operator="containsText" text="L">
      <formula>NOT(ISERROR(SEARCH(("L"),(D31))))</formula>
    </cfRule>
  </conditionalFormatting>
  <conditionalFormatting sqref="D31:H32">
    <cfRule type="containsText" dxfId="12" priority="188" operator="containsText" text="ex">
      <formula>NOT(ISERROR(SEARCH(("ex"),(D31))))</formula>
    </cfRule>
  </conditionalFormatting>
  <conditionalFormatting sqref="D31:H32">
    <cfRule type="containsText" dxfId="13" priority="189" operator="containsText" text="indisp">
      <formula>NOT(ISERROR(SEARCH(("indisp"),(D31))))</formula>
    </cfRule>
  </conditionalFormatting>
  <conditionalFormatting sqref="D31:H32">
    <cfRule type="containsText" dxfId="4" priority="190" operator="containsText" text="B A J A">
      <formula>NOT(ISERROR(SEARCH(("B A J A"),(D31))))</formula>
    </cfRule>
  </conditionalFormatting>
  <conditionalFormatting sqref="D31:H32">
    <cfRule type="containsText" dxfId="4" priority="191" operator="containsText" text="BAJA">
      <formula>NOT(ISERROR(SEARCH(("BAJA"),(D31))))</formula>
    </cfRule>
  </conditionalFormatting>
  <conditionalFormatting sqref="D31:H32">
    <cfRule type="containsText" dxfId="4" priority="192" operator="containsText" text="V A C A C I O N E S">
      <formula>NOT(ISERROR(SEARCH(("V A C A C I O N E S"),(D31))))</formula>
    </cfRule>
  </conditionalFormatting>
  <conditionalFormatting sqref="D31:H32">
    <cfRule type="containsText" dxfId="4" priority="193" operator="containsText" text="Vacaciones">
      <formula>NOT(ISERROR(SEARCH(("Vacaciones"),(D31))))</formula>
    </cfRule>
  </conditionalFormatting>
  <conditionalFormatting sqref="D31:H32">
    <cfRule type="containsText" dxfId="6" priority="194" operator="containsText" text="JuB">
      <formula>NOT(ISERROR(SEARCH(("JuB"),(D31))))</formula>
    </cfRule>
  </conditionalFormatting>
  <conditionalFormatting sqref="D31:H32">
    <cfRule type="containsText" dxfId="6" priority="195" operator="containsText" text="JuC">
      <formula>NOT(ISERROR(SEARCH(("JuC"),(D31))))</formula>
    </cfRule>
  </conditionalFormatting>
  <conditionalFormatting sqref="D31:H32">
    <cfRule type="containsText" dxfId="5" priority="196" operator="containsText" text="AP">
      <formula>NOT(ISERROR(SEARCH(("AP"),(D31))))</formula>
    </cfRule>
  </conditionalFormatting>
  <conditionalFormatting sqref="D31:H32">
    <cfRule type="containsText" dxfId="6" priority="197" operator="containsText" text="Ts">
      <formula>NOT(ISERROR(SEARCH(("Ts"),(D31))))</formula>
    </cfRule>
  </conditionalFormatting>
  <conditionalFormatting sqref="D33">
    <cfRule type="containsText" dxfId="7" priority="198" operator="containsText" text="D">
      <formula>NOT(ISERROR(SEARCH(("D"),(D33))))</formula>
    </cfRule>
  </conditionalFormatting>
  <conditionalFormatting sqref="D33">
    <cfRule type="containsText" dxfId="8" priority="199" operator="containsText" text="3">
      <formula>NOT(ISERROR(SEARCH(("3"),(D33))))</formula>
    </cfRule>
  </conditionalFormatting>
  <conditionalFormatting sqref="D33">
    <cfRule type="containsText" dxfId="9" priority="200" operator="containsText" text="2">
      <formula>NOT(ISERROR(SEARCH(("2"),(D33))))</formula>
    </cfRule>
  </conditionalFormatting>
  <conditionalFormatting sqref="D33">
    <cfRule type="containsText" dxfId="10" priority="201" operator="containsText" text="1">
      <formula>NOT(ISERROR(SEARCH(("1"),(D33))))</formula>
    </cfRule>
  </conditionalFormatting>
  <conditionalFormatting sqref="D33">
    <cfRule type="containsText" dxfId="10" priority="202" operator="containsText" text="L">
      <formula>NOT(ISERROR(SEARCH(("L"),(D33))))</formula>
    </cfRule>
  </conditionalFormatting>
  <conditionalFormatting sqref="D33 D34:H34 D38:H38">
    <cfRule type="containsText" dxfId="12" priority="203" operator="containsText" text="ex">
      <formula>NOT(ISERROR(SEARCH(("ex"),(D33))))</formula>
    </cfRule>
  </conditionalFormatting>
  <conditionalFormatting sqref="D33 D34:H34 D38:H38">
    <cfRule type="containsText" dxfId="13" priority="204" operator="containsText" text="indisp">
      <formula>NOT(ISERROR(SEARCH(("indisp"),(D33))))</formula>
    </cfRule>
  </conditionalFormatting>
  <conditionalFormatting sqref="D33 D34:H34 D38:H38">
    <cfRule type="containsText" dxfId="4" priority="205" operator="containsText" text="B A J A">
      <formula>NOT(ISERROR(SEARCH(("B A J A"),(D33))))</formula>
    </cfRule>
  </conditionalFormatting>
  <conditionalFormatting sqref="D33 D34:H34 D38:H38">
    <cfRule type="containsText" dxfId="4" priority="206" operator="containsText" text="BAJA">
      <formula>NOT(ISERROR(SEARCH(("BAJA"),(D33))))</formula>
    </cfRule>
  </conditionalFormatting>
  <conditionalFormatting sqref="D33 D34:H34 D38:H38">
    <cfRule type="containsText" dxfId="4" priority="207" operator="containsText" text="V A C A C I O N E S">
      <formula>NOT(ISERROR(SEARCH(("V A C A C I O N E S"),(D33))))</formula>
    </cfRule>
  </conditionalFormatting>
  <conditionalFormatting sqref="D33 D34:H34 D38:H38">
    <cfRule type="containsText" dxfId="4" priority="208" operator="containsText" text="Vacaciones">
      <formula>NOT(ISERROR(SEARCH(("Vacaciones"),(D33))))</formula>
    </cfRule>
  </conditionalFormatting>
  <conditionalFormatting sqref="D33 D34:H34 D38:H38">
    <cfRule type="containsText" dxfId="6" priority="209" operator="containsText" text="JuB">
      <formula>NOT(ISERROR(SEARCH(("JuB"),(D33))))</formula>
    </cfRule>
  </conditionalFormatting>
  <conditionalFormatting sqref="D33 D34:H34 D38:H38">
    <cfRule type="containsText" dxfId="6" priority="210" operator="containsText" text="JuC">
      <formula>NOT(ISERROR(SEARCH(("JuC"),(D33))))</formula>
    </cfRule>
  </conditionalFormatting>
  <conditionalFormatting sqref="D33 D34:H34 D38:H38">
    <cfRule type="containsText" dxfId="5" priority="211" operator="containsText" text="AP">
      <formula>NOT(ISERROR(SEARCH(("AP"),(D33))))</formula>
    </cfRule>
  </conditionalFormatting>
  <conditionalFormatting sqref="D33 D34:H34 D38:H38">
    <cfRule type="containsText" dxfId="6" priority="212" operator="containsText" text="Ts">
      <formula>NOT(ISERROR(SEARCH(("Ts"),(D33))))</formula>
    </cfRule>
  </conditionalFormatting>
  <conditionalFormatting sqref="D39:H39">
    <cfRule type="containsText" dxfId="7" priority="213" operator="containsText" text="D">
      <formula>NOT(ISERROR(SEARCH(("D"),(D39))))</formula>
    </cfRule>
  </conditionalFormatting>
  <conditionalFormatting sqref="D39:H39">
    <cfRule type="containsText" dxfId="8" priority="214" operator="containsText" text="3">
      <formula>NOT(ISERROR(SEARCH(("3"),(D39))))</formula>
    </cfRule>
  </conditionalFormatting>
  <conditionalFormatting sqref="D39:H39">
    <cfRule type="containsText" dxfId="9" priority="215" operator="containsText" text="2">
      <formula>NOT(ISERROR(SEARCH(("2"),(D39))))</formula>
    </cfRule>
  </conditionalFormatting>
  <conditionalFormatting sqref="D39:H39">
    <cfRule type="containsText" dxfId="10" priority="216" operator="containsText" text="1">
      <formula>NOT(ISERROR(SEARCH(("1"),(D39))))</formula>
    </cfRule>
  </conditionalFormatting>
  <conditionalFormatting sqref="D39:H39">
    <cfRule type="containsText" dxfId="10" priority="217" operator="containsText" text="L">
      <formula>NOT(ISERROR(SEARCH(("L"),(D39))))</formula>
    </cfRule>
  </conditionalFormatting>
  <conditionalFormatting sqref="D39:H40">
    <cfRule type="containsText" dxfId="12" priority="218" operator="containsText" text="ex">
      <formula>NOT(ISERROR(SEARCH(("ex"),(D39))))</formula>
    </cfRule>
  </conditionalFormatting>
  <conditionalFormatting sqref="D39:H40">
    <cfRule type="containsText" dxfId="13" priority="219" operator="containsText" text="indisp">
      <formula>NOT(ISERROR(SEARCH(("indisp"),(D39))))</formula>
    </cfRule>
  </conditionalFormatting>
  <conditionalFormatting sqref="D39:H40">
    <cfRule type="containsText" dxfId="4" priority="220" operator="containsText" text="B A J A">
      <formula>NOT(ISERROR(SEARCH(("B A J A"),(D39))))</formula>
    </cfRule>
  </conditionalFormatting>
  <conditionalFormatting sqref="D39:H40">
    <cfRule type="containsText" dxfId="4" priority="221" operator="containsText" text="BAJA">
      <formula>NOT(ISERROR(SEARCH(("BAJA"),(D39))))</formula>
    </cfRule>
  </conditionalFormatting>
  <conditionalFormatting sqref="D39:H40">
    <cfRule type="containsText" dxfId="4" priority="222" operator="containsText" text="V A C A C I O N E S">
      <formula>NOT(ISERROR(SEARCH(("V A C A C I O N E S"),(D39))))</formula>
    </cfRule>
  </conditionalFormatting>
  <conditionalFormatting sqref="D39:H40">
    <cfRule type="containsText" dxfId="4" priority="223" operator="containsText" text="Vacaciones">
      <formula>NOT(ISERROR(SEARCH(("Vacaciones"),(D39))))</formula>
    </cfRule>
  </conditionalFormatting>
  <conditionalFormatting sqref="D39:H40">
    <cfRule type="containsText" dxfId="6" priority="224" operator="containsText" text="JuB">
      <formula>NOT(ISERROR(SEARCH(("JuB"),(D39))))</formula>
    </cfRule>
  </conditionalFormatting>
  <conditionalFormatting sqref="D39:H40">
    <cfRule type="containsText" dxfId="6" priority="225" operator="containsText" text="JuC">
      <formula>NOT(ISERROR(SEARCH(("JuC"),(D39))))</formula>
    </cfRule>
  </conditionalFormatting>
  <conditionalFormatting sqref="D39:H40">
    <cfRule type="containsText" dxfId="5" priority="226" operator="containsText" text="AP">
      <formula>NOT(ISERROR(SEARCH(("AP"),(D39))))</formula>
    </cfRule>
  </conditionalFormatting>
  <conditionalFormatting sqref="D39:H40">
    <cfRule type="containsText" dxfId="6" priority="227" operator="containsText" text="Ts">
      <formula>NOT(ISERROR(SEARCH(("Ts"),(D39))))</formula>
    </cfRule>
  </conditionalFormatting>
  <conditionalFormatting sqref="D41:H41">
    <cfRule type="containsText" dxfId="7" priority="228" operator="containsText" text="D">
      <formula>NOT(ISERROR(SEARCH(("D"),(D41))))</formula>
    </cfRule>
  </conditionalFormatting>
  <conditionalFormatting sqref="D41:H41">
    <cfRule type="containsText" dxfId="8" priority="229" operator="containsText" text="3">
      <formula>NOT(ISERROR(SEARCH(("3"),(D41))))</formula>
    </cfRule>
  </conditionalFormatting>
  <conditionalFormatting sqref="D41:H41">
    <cfRule type="containsText" dxfId="9" priority="230" operator="containsText" text="2">
      <formula>NOT(ISERROR(SEARCH(("2"),(D41))))</formula>
    </cfRule>
  </conditionalFormatting>
  <conditionalFormatting sqref="D41:H41">
    <cfRule type="containsText" dxfId="10" priority="231" operator="containsText" text="1">
      <formula>NOT(ISERROR(SEARCH(("1"),(D41))))</formula>
    </cfRule>
  </conditionalFormatting>
  <conditionalFormatting sqref="D41:H41">
    <cfRule type="containsText" dxfId="10" priority="232" operator="containsText" text="L">
      <formula>NOT(ISERROR(SEARCH(("L"),(D41))))</formula>
    </cfRule>
  </conditionalFormatting>
  <conditionalFormatting sqref="D41:H42">
    <cfRule type="containsText" dxfId="12" priority="233" operator="containsText" text="ex">
      <formula>NOT(ISERROR(SEARCH(("ex"),(D41))))</formula>
    </cfRule>
  </conditionalFormatting>
  <conditionalFormatting sqref="D41:H42">
    <cfRule type="containsText" dxfId="13" priority="234" operator="containsText" text="indisp">
      <formula>NOT(ISERROR(SEARCH(("indisp"),(D41))))</formula>
    </cfRule>
  </conditionalFormatting>
  <conditionalFormatting sqref="D41:H42">
    <cfRule type="containsText" dxfId="4" priority="235" operator="containsText" text="B A J A">
      <formula>NOT(ISERROR(SEARCH(("B A J A"),(D41))))</formula>
    </cfRule>
  </conditionalFormatting>
  <conditionalFormatting sqref="D41:H42">
    <cfRule type="containsText" dxfId="4" priority="236" operator="containsText" text="BAJA">
      <formula>NOT(ISERROR(SEARCH(("BAJA"),(D41))))</formula>
    </cfRule>
  </conditionalFormatting>
  <conditionalFormatting sqref="D41:H42">
    <cfRule type="containsText" dxfId="4" priority="237" operator="containsText" text="V A C A C I O N E S">
      <formula>NOT(ISERROR(SEARCH(("V A C A C I O N E S"),(D41))))</formula>
    </cfRule>
  </conditionalFormatting>
  <conditionalFormatting sqref="D41:H42">
    <cfRule type="containsText" dxfId="4" priority="238" operator="containsText" text="Vacaciones">
      <formula>NOT(ISERROR(SEARCH(("Vacaciones"),(D41))))</formula>
    </cfRule>
  </conditionalFormatting>
  <conditionalFormatting sqref="D41:H42">
    <cfRule type="containsText" dxfId="6" priority="239" operator="containsText" text="JuB">
      <formula>NOT(ISERROR(SEARCH(("JuB"),(D41))))</formula>
    </cfRule>
  </conditionalFormatting>
  <conditionalFormatting sqref="D41:H42">
    <cfRule type="containsText" dxfId="6" priority="240" operator="containsText" text="JuC">
      <formula>NOT(ISERROR(SEARCH(("JuC"),(D41))))</formula>
    </cfRule>
  </conditionalFormatting>
  <conditionalFormatting sqref="D41:H42">
    <cfRule type="containsText" dxfId="5" priority="241" operator="containsText" text="AP">
      <formula>NOT(ISERROR(SEARCH(("AP"),(D41))))</formula>
    </cfRule>
  </conditionalFormatting>
  <conditionalFormatting sqref="D41:H42">
    <cfRule type="containsText" dxfId="6" priority="242" operator="containsText" text="Ts">
      <formula>NOT(ISERROR(SEARCH(("Ts"),(D41))))</formula>
    </cfRule>
  </conditionalFormatting>
  <conditionalFormatting sqref="D43:H43">
    <cfRule type="containsText" dxfId="8" priority="243" operator="containsText" text="3">
      <formula>NOT(ISERROR(SEARCH(("3"),(D43))))</formula>
    </cfRule>
  </conditionalFormatting>
  <conditionalFormatting sqref="D43:H43">
    <cfRule type="containsText" dxfId="9" priority="244" operator="containsText" text="2">
      <formula>NOT(ISERROR(SEARCH(("2"),(D43))))</formula>
    </cfRule>
  </conditionalFormatting>
  <conditionalFormatting sqref="D43:H43">
    <cfRule type="containsText" dxfId="10" priority="245" operator="containsText" text="1">
      <formula>NOT(ISERROR(SEARCH(("1"),(D43))))</formula>
    </cfRule>
  </conditionalFormatting>
  <conditionalFormatting sqref="D43:H43">
    <cfRule type="containsText" dxfId="10" priority="246" operator="containsText" text="L">
      <formula>NOT(ISERROR(SEARCH(("L"),(D43))))</formula>
    </cfRule>
  </conditionalFormatting>
  <conditionalFormatting sqref="D43:H44">
    <cfRule type="containsText" dxfId="12" priority="247" operator="containsText" text="ex">
      <formula>NOT(ISERROR(SEARCH(("ex"),(D43))))</formula>
    </cfRule>
  </conditionalFormatting>
  <conditionalFormatting sqref="D43:H44">
    <cfRule type="containsText" dxfId="6" priority="248" operator="containsText" text="curso">
      <formula>NOT(ISERROR(SEARCH(("curso"),(D43))))</formula>
    </cfRule>
  </conditionalFormatting>
  <conditionalFormatting sqref="D43:H44">
    <cfRule type="containsText" dxfId="13" priority="249" operator="containsText" text="indisp">
      <formula>NOT(ISERROR(SEARCH(("indisp"),(D43))))</formula>
    </cfRule>
  </conditionalFormatting>
  <conditionalFormatting sqref="D43:H44">
    <cfRule type="containsText" dxfId="4" priority="250" operator="containsText" text="B A J A">
      <formula>NOT(ISERROR(SEARCH(("B A J A"),(D43))))</formula>
    </cfRule>
  </conditionalFormatting>
  <conditionalFormatting sqref="D43:H44">
    <cfRule type="containsText" dxfId="4" priority="251" operator="containsText" text="BAJA">
      <formula>NOT(ISERROR(SEARCH(("BAJA"),(D43))))</formula>
    </cfRule>
  </conditionalFormatting>
  <conditionalFormatting sqref="D43:H44">
    <cfRule type="containsText" dxfId="4" priority="252" operator="containsText" text="V A C A C I O N E S">
      <formula>NOT(ISERROR(SEARCH(("V A C A C I O N E S"),(D43))))</formula>
    </cfRule>
  </conditionalFormatting>
  <conditionalFormatting sqref="D43:H44">
    <cfRule type="containsText" dxfId="4" priority="253" operator="containsText" text="Vacaciones">
      <formula>NOT(ISERROR(SEARCH(("Vacaciones"),(D43))))</formula>
    </cfRule>
  </conditionalFormatting>
  <conditionalFormatting sqref="D43:H44">
    <cfRule type="containsText" dxfId="6" priority="254" operator="containsText" text="JuB">
      <formula>NOT(ISERROR(SEARCH(("JuB"),(D43))))</formula>
    </cfRule>
  </conditionalFormatting>
  <conditionalFormatting sqref="D43:H44">
    <cfRule type="containsText" dxfId="6" priority="255" operator="containsText" text="JuC">
      <formula>NOT(ISERROR(SEARCH(("JuC"),(D43))))</formula>
    </cfRule>
  </conditionalFormatting>
  <conditionalFormatting sqref="D43:H44">
    <cfRule type="containsText" dxfId="5" priority="256" operator="containsText" text="AP">
      <formula>NOT(ISERROR(SEARCH(("AP"),(D43))))</formula>
    </cfRule>
  </conditionalFormatting>
  <conditionalFormatting sqref="D43:H44">
    <cfRule type="containsText" dxfId="6" priority="257" operator="containsText" text="Ts">
      <formula>NOT(ISERROR(SEARCH(("Ts"),(D43))))</formula>
    </cfRule>
  </conditionalFormatting>
  <conditionalFormatting sqref="D7:M7">
    <cfRule type="containsText" dxfId="7" priority="258" operator="containsText" text="D">
      <formula>NOT(ISERROR(SEARCH(("D"),(D7))))</formula>
    </cfRule>
  </conditionalFormatting>
  <conditionalFormatting sqref="D7:M7">
    <cfRule type="containsText" dxfId="8" priority="259" operator="containsText" text="3">
      <formula>NOT(ISERROR(SEARCH(("3"),(D7))))</formula>
    </cfRule>
  </conditionalFormatting>
  <conditionalFormatting sqref="D7:M7">
    <cfRule type="containsText" dxfId="9" priority="260" operator="containsText" text="2">
      <formula>NOT(ISERROR(SEARCH(("2"),(D7))))</formula>
    </cfRule>
  </conditionalFormatting>
  <conditionalFormatting sqref="D7:M7">
    <cfRule type="containsText" dxfId="10" priority="261" operator="containsText" text="1">
      <formula>NOT(ISERROR(SEARCH(("1"),(D7))))</formula>
    </cfRule>
  </conditionalFormatting>
  <conditionalFormatting sqref="D7:M7">
    <cfRule type="containsText" dxfId="10" priority="262" operator="containsText" text="L">
      <formula>NOT(ISERROR(SEARCH(("L"),(D7))))</formula>
    </cfRule>
  </conditionalFormatting>
  <conditionalFormatting sqref="D7:M7 D8 I8 K8:M8">
    <cfRule type="containsText" dxfId="12" priority="263" operator="containsText" text="ex">
      <formula>NOT(ISERROR(SEARCH(("ex"),(D7))))</formula>
    </cfRule>
  </conditionalFormatting>
  <conditionalFormatting sqref="D7:M7 D8 I8 K8:M8">
    <cfRule type="containsText" dxfId="6" priority="264" operator="containsText" text="curso">
      <formula>NOT(ISERROR(SEARCH(("curso"),(D7))))</formula>
    </cfRule>
  </conditionalFormatting>
  <conditionalFormatting sqref="D7:M7 D8 I8 K8:M8">
    <cfRule type="containsText" dxfId="13" priority="265" operator="containsText" text="indisp">
      <formula>NOT(ISERROR(SEARCH(("indisp"),(D7))))</formula>
    </cfRule>
  </conditionalFormatting>
  <conditionalFormatting sqref="D7:M7 D8 I8 K8:M8">
    <cfRule type="containsText" dxfId="4" priority="266" operator="containsText" text="B A J A">
      <formula>NOT(ISERROR(SEARCH(("B A J A"),(D7))))</formula>
    </cfRule>
  </conditionalFormatting>
  <conditionalFormatting sqref="D7:M7 D8 I8 K8:M8">
    <cfRule type="containsText" dxfId="4" priority="267" operator="containsText" text="BAJA">
      <formula>NOT(ISERROR(SEARCH(("BAJA"),(D7))))</formula>
    </cfRule>
  </conditionalFormatting>
  <conditionalFormatting sqref="D7:M7 D8 I8 K8:M8">
    <cfRule type="containsText" dxfId="4" priority="268" operator="containsText" text="V A C A C I O N E S">
      <formula>NOT(ISERROR(SEARCH(("V A C A C I O N E S"),(D7))))</formula>
    </cfRule>
  </conditionalFormatting>
  <conditionalFormatting sqref="D7:M7 D8 I8 K8:M8">
    <cfRule type="containsText" dxfId="4" priority="269" operator="containsText" text="Vacaciones">
      <formula>NOT(ISERROR(SEARCH(("Vacaciones"),(D7))))</formula>
    </cfRule>
  </conditionalFormatting>
  <conditionalFormatting sqref="D7:M7 D8 I8 K8:M8">
    <cfRule type="containsText" dxfId="6" priority="270" operator="containsText" text="JuB">
      <formula>NOT(ISERROR(SEARCH(("JuB"),(D7))))</formula>
    </cfRule>
  </conditionalFormatting>
  <conditionalFormatting sqref="D7:M7 D8 I8 K8:M8">
    <cfRule type="containsText" dxfId="6" priority="271" operator="containsText" text="JuC">
      <formula>NOT(ISERROR(SEARCH(("JuC"),(D7))))</formula>
    </cfRule>
  </conditionalFormatting>
  <conditionalFormatting sqref="D7:M7 D8 I8 K8:M8">
    <cfRule type="containsText" dxfId="5" priority="272" operator="containsText" text="AP">
      <formula>NOT(ISERROR(SEARCH(("AP"),(D7))))</formula>
    </cfRule>
  </conditionalFormatting>
  <conditionalFormatting sqref="D7:M7 D8 I8 K8:M8">
    <cfRule type="containsText" dxfId="6" priority="273" operator="containsText" text="Ts">
      <formula>NOT(ISERROR(SEARCH(("Ts"),(D7))))</formula>
    </cfRule>
  </conditionalFormatting>
  <conditionalFormatting sqref="D43:M43">
    <cfRule type="containsText" dxfId="7" priority="274" operator="containsText" text="D">
      <formula>NOT(ISERROR(SEARCH(("D"),(D43))))</formula>
    </cfRule>
  </conditionalFormatting>
  <conditionalFormatting sqref="I47">
    <cfRule type="cellIs" dxfId="3" priority="275" operator="greaterThanOrEqual">
      <formula>4</formula>
    </cfRule>
  </conditionalFormatting>
  <conditionalFormatting sqref="I47">
    <cfRule type="cellIs" dxfId="2" priority="276" operator="lessThan">
      <formula>4</formula>
    </cfRule>
  </conditionalFormatting>
  <conditionalFormatting sqref="I5 K5:M5">
    <cfRule type="containsText" dxfId="7" priority="277" operator="containsText" text="D">
      <formula>NOT(ISERROR(SEARCH(("D"),(I5))))</formula>
    </cfRule>
  </conditionalFormatting>
  <conditionalFormatting sqref="I5 K5:M5">
    <cfRule type="containsText" dxfId="8" priority="278" operator="containsText" text="3">
      <formula>NOT(ISERROR(SEARCH(("3"),(I5))))</formula>
    </cfRule>
  </conditionalFormatting>
  <conditionalFormatting sqref="I5 K5:M5">
    <cfRule type="containsText" dxfId="9" priority="279" operator="containsText" text="2">
      <formula>NOT(ISERROR(SEARCH(("2"),(I5))))</formula>
    </cfRule>
  </conditionalFormatting>
  <conditionalFormatting sqref="I5 K5:M5">
    <cfRule type="containsText" dxfId="10" priority="280" operator="containsText" text="1">
      <formula>NOT(ISERROR(SEARCH(("1"),(I5))))</formula>
    </cfRule>
  </conditionalFormatting>
  <conditionalFormatting sqref="I5 K5:M5">
    <cfRule type="containsText" dxfId="10" priority="281" operator="containsText" text="L">
      <formula>NOT(ISERROR(SEARCH(("L"),(I5))))</formula>
    </cfRule>
  </conditionalFormatting>
  <conditionalFormatting sqref="I5:I6 K5:M6 J6">
    <cfRule type="containsText" dxfId="12" priority="282" operator="containsText" text="ex">
      <formula>NOT(ISERROR(SEARCH(("ex"),(I5))))</formula>
    </cfRule>
  </conditionalFormatting>
  <conditionalFormatting sqref="I5:I6 K5:M6 J6">
    <cfRule type="containsText" dxfId="6" priority="283" operator="containsText" text="curso">
      <formula>NOT(ISERROR(SEARCH(("curso"),(I5))))</formula>
    </cfRule>
  </conditionalFormatting>
  <conditionalFormatting sqref="I5:I6 K5:M6 J6">
    <cfRule type="containsText" dxfId="13" priority="284" operator="containsText" text="indisp">
      <formula>NOT(ISERROR(SEARCH(("indisp"),(I5))))</formula>
    </cfRule>
  </conditionalFormatting>
  <conditionalFormatting sqref="I5:I6 K5:M6 J6">
    <cfRule type="containsText" dxfId="4" priority="285" operator="containsText" text="B A J A">
      <formula>NOT(ISERROR(SEARCH(("B A J A"),(I5))))</formula>
    </cfRule>
  </conditionalFormatting>
  <conditionalFormatting sqref="I5:I6 K5:M6 J6">
    <cfRule type="containsText" dxfId="4" priority="286" operator="containsText" text="BAJA">
      <formula>NOT(ISERROR(SEARCH(("BAJA"),(I5))))</formula>
    </cfRule>
  </conditionalFormatting>
  <conditionalFormatting sqref="I5:I6 K5:M6 J6">
    <cfRule type="containsText" dxfId="4" priority="287" operator="containsText" text="V A C A C I O N E S">
      <formula>NOT(ISERROR(SEARCH(("V A C A C I O N E S"),(I5))))</formula>
    </cfRule>
  </conditionalFormatting>
  <conditionalFormatting sqref="I5:I6 K5:M6 J6">
    <cfRule type="containsText" dxfId="4" priority="288" operator="containsText" text="Vacaciones">
      <formula>NOT(ISERROR(SEARCH(("Vacaciones"),(I5))))</formula>
    </cfRule>
  </conditionalFormatting>
  <conditionalFormatting sqref="I5:I6 K5:M6 J6">
    <cfRule type="containsText" dxfId="6" priority="289" operator="containsText" text="JuB">
      <formula>NOT(ISERROR(SEARCH(("JuB"),(I5))))</formula>
    </cfRule>
  </conditionalFormatting>
  <conditionalFormatting sqref="I5:I6 K5:M6 J6">
    <cfRule type="containsText" dxfId="6" priority="290" operator="containsText" text="JuC">
      <formula>NOT(ISERROR(SEARCH(("JuC"),(I5))))</formula>
    </cfRule>
  </conditionalFormatting>
  <conditionalFormatting sqref="I5:I6 K5:M6 J6">
    <cfRule type="containsText" dxfId="5" priority="291" operator="containsText" text="AP">
      <formula>NOT(ISERROR(SEARCH(("AP"),(I5))))</formula>
    </cfRule>
  </conditionalFormatting>
  <conditionalFormatting sqref="I5:I6 K5:M6 J6">
    <cfRule type="containsText" dxfId="6" priority="292" operator="containsText" text="Ts">
      <formula>NOT(ISERROR(SEARCH(("Ts"),(I5))))</formula>
    </cfRule>
  </conditionalFormatting>
  <conditionalFormatting sqref="I9:M9">
    <cfRule type="containsText" dxfId="7" priority="293" operator="containsText" text="D">
      <formula>NOT(ISERROR(SEARCH(("D"),(I9))))</formula>
    </cfRule>
  </conditionalFormatting>
  <conditionalFormatting sqref="I9:M9">
    <cfRule type="containsText" dxfId="8" priority="294" operator="containsText" text="3">
      <formula>NOT(ISERROR(SEARCH(("3"),(I9))))</formula>
    </cfRule>
  </conditionalFormatting>
  <conditionalFormatting sqref="I9:M9">
    <cfRule type="containsText" dxfId="9" priority="295" operator="containsText" text="2">
      <formula>NOT(ISERROR(SEARCH(("2"),(I9))))</formula>
    </cfRule>
  </conditionalFormatting>
  <conditionalFormatting sqref="I9:M9">
    <cfRule type="containsText" dxfId="10" priority="296" operator="containsText" text="1">
      <formula>NOT(ISERROR(SEARCH(("1"),(I9))))</formula>
    </cfRule>
  </conditionalFormatting>
  <conditionalFormatting sqref="I9:M9">
    <cfRule type="containsText" dxfId="10" priority="297" operator="containsText" text="L">
      <formula>NOT(ISERROR(SEARCH(("L"),(I9))))</formula>
    </cfRule>
  </conditionalFormatting>
  <conditionalFormatting sqref="I9:M10">
    <cfRule type="containsText" dxfId="12" priority="298" operator="containsText" text="ex">
      <formula>NOT(ISERROR(SEARCH(("ex"),(I9))))</formula>
    </cfRule>
  </conditionalFormatting>
  <conditionalFormatting sqref="I9:M10">
    <cfRule type="containsText" dxfId="6" priority="299" operator="containsText" text="curso">
      <formula>NOT(ISERROR(SEARCH(("curso"),(I9))))</formula>
    </cfRule>
  </conditionalFormatting>
  <conditionalFormatting sqref="I9:M10">
    <cfRule type="containsText" dxfId="13" priority="300" operator="containsText" text="indisp">
      <formula>NOT(ISERROR(SEARCH(("indisp"),(I9))))</formula>
    </cfRule>
  </conditionalFormatting>
  <conditionalFormatting sqref="I9:M10">
    <cfRule type="containsText" dxfId="4" priority="301" operator="containsText" text="B A J A">
      <formula>NOT(ISERROR(SEARCH(("B A J A"),(I9))))</formula>
    </cfRule>
  </conditionalFormatting>
  <conditionalFormatting sqref="I9:M10">
    <cfRule type="containsText" dxfId="4" priority="302" operator="containsText" text="BAJA">
      <formula>NOT(ISERROR(SEARCH(("BAJA"),(I9))))</formula>
    </cfRule>
  </conditionalFormatting>
  <conditionalFormatting sqref="I9:M10">
    <cfRule type="containsText" dxfId="4" priority="303" operator="containsText" text="V A C A C I O N E S">
      <formula>NOT(ISERROR(SEARCH(("V A C A C I O N E S"),(I9))))</formula>
    </cfRule>
  </conditionalFormatting>
  <conditionalFormatting sqref="I9:M10">
    <cfRule type="containsText" dxfId="4" priority="304" operator="containsText" text="Vacaciones">
      <formula>NOT(ISERROR(SEARCH(("Vacaciones"),(I9))))</formula>
    </cfRule>
  </conditionalFormatting>
  <conditionalFormatting sqref="I9:M10">
    <cfRule type="containsText" dxfId="6" priority="305" operator="containsText" text="JuB">
      <formula>NOT(ISERROR(SEARCH(("JuB"),(I9))))</formula>
    </cfRule>
  </conditionalFormatting>
  <conditionalFormatting sqref="I9:M10">
    <cfRule type="containsText" dxfId="6" priority="306" operator="containsText" text="JuC">
      <formula>NOT(ISERROR(SEARCH(("JuC"),(I9))))</formula>
    </cfRule>
  </conditionalFormatting>
  <conditionalFormatting sqref="I9:M10">
    <cfRule type="containsText" dxfId="5" priority="307" operator="containsText" text="AP">
      <formula>NOT(ISERROR(SEARCH(("AP"),(I9))))</formula>
    </cfRule>
  </conditionalFormatting>
  <conditionalFormatting sqref="I9:M10">
    <cfRule type="containsText" dxfId="6" priority="308" operator="containsText" text="Ts">
      <formula>NOT(ISERROR(SEARCH(("Ts"),(I9))))</formula>
    </cfRule>
  </conditionalFormatting>
  <conditionalFormatting sqref="I11:M11">
    <cfRule type="containsText" dxfId="7" priority="309" operator="containsText" text="D">
      <formula>NOT(ISERROR(SEARCH(("D"),(I11))))</formula>
    </cfRule>
  </conditionalFormatting>
  <conditionalFormatting sqref="I11:M11">
    <cfRule type="containsText" dxfId="8" priority="310" operator="containsText" text="3">
      <formula>NOT(ISERROR(SEARCH(("3"),(I11))))</formula>
    </cfRule>
  </conditionalFormatting>
  <conditionalFormatting sqref="I11:M11">
    <cfRule type="containsText" dxfId="9" priority="311" operator="containsText" text="2">
      <formula>NOT(ISERROR(SEARCH(("2"),(I11))))</formula>
    </cfRule>
  </conditionalFormatting>
  <conditionalFormatting sqref="I11:M11">
    <cfRule type="containsText" dxfId="10" priority="312" operator="containsText" text="1">
      <formula>NOT(ISERROR(SEARCH(("1"),(I11))))</formula>
    </cfRule>
  </conditionalFormatting>
  <conditionalFormatting sqref="I11:M11">
    <cfRule type="containsText" dxfId="10" priority="313" operator="containsText" text="L">
      <formula>NOT(ISERROR(SEARCH(("L"),(I11))))</formula>
    </cfRule>
  </conditionalFormatting>
  <conditionalFormatting sqref="I11:M12">
    <cfRule type="containsText" dxfId="12" priority="314" operator="containsText" text="ex">
      <formula>NOT(ISERROR(SEARCH(("ex"),(I11))))</formula>
    </cfRule>
  </conditionalFormatting>
  <conditionalFormatting sqref="I11:M12">
    <cfRule type="containsText" dxfId="6" priority="315" operator="containsText" text="curso">
      <formula>NOT(ISERROR(SEARCH(("curso"),(I11))))</formula>
    </cfRule>
  </conditionalFormatting>
  <conditionalFormatting sqref="I11:M12">
    <cfRule type="containsText" dxfId="13" priority="316" operator="containsText" text="indisp">
      <formula>NOT(ISERROR(SEARCH(("indisp"),(I11))))</formula>
    </cfRule>
  </conditionalFormatting>
  <conditionalFormatting sqref="I11:M12">
    <cfRule type="containsText" dxfId="4" priority="317" operator="containsText" text="B A J A">
      <formula>NOT(ISERROR(SEARCH(("B A J A"),(I11))))</formula>
    </cfRule>
  </conditionalFormatting>
  <conditionalFormatting sqref="I11:M12">
    <cfRule type="containsText" dxfId="4" priority="318" operator="containsText" text="BAJA">
      <formula>NOT(ISERROR(SEARCH(("BAJA"),(I11))))</formula>
    </cfRule>
  </conditionalFormatting>
  <conditionalFormatting sqref="I11:M12">
    <cfRule type="containsText" dxfId="4" priority="319" operator="containsText" text="V A C A C I O N E S">
      <formula>NOT(ISERROR(SEARCH(("V A C A C I O N E S"),(I11))))</formula>
    </cfRule>
  </conditionalFormatting>
  <conditionalFormatting sqref="I11:M12">
    <cfRule type="containsText" dxfId="4" priority="320" operator="containsText" text="Vacaciones">
      <formula>NOT(ISERROR(SEARCH(("Vacaciones"),(I11))))</formula>
    </cfRule>
  </conditionalFormatting>
  <conditionalFormatting sqref="I11:M12">
    <cfRule type="containsText" dxfId="6" priority="321" operator="containsText" text="JuB">
      <formula>NOT(ISERROR(SEARCH(("JuB"),(I11))))</formula>
    </cfRule>
  </conditionalFormatting>
  <conditionalFormatting sqref="I11:M12">
    <cfRule type="containsText" dxfId="6" priority="322" operator="containsText" text="JuC">
      <formula>NOT(ISERROR(SEARCH(("JuC"),(I11))))</formula>
    </cfRule>
  </conditionalFormatting>
  <conditionalFormatting sqref="I11:M12">
    <cfRule type="containsText" dxfId="5" priority="323" operator="containsText" text="AP">
      <formula>NOT(ISERROR(SEARCH(("AP"),(I11))))</formula>
    </cfRule>
  </conditionalFormatting>
  <conditionalFormatting sqref="I11:M12">
    <cfRule type="containsText" dxfId="6" priority="324" operator="containsText" text="Ts">
      <formula>NOT(ISERROR(SEARCH(("Ts"),(I11))))</formula>
    </cfRule>
  </conditionalFormatting>
  <conditionalFormatting sqref="I13:M13">
    <cfRule type="containsText" dxfId="7" priority="325" operator="containsText" text="D">
      <formula>NOT(ISERROR(SEARCH(("D"),(I13))))</formula>
    </cfRule>
  </conditionalFormatting>
  <conditionalFormatting sqref="I13:M13">
    <cfRule type="containsText" dxfId="8" priority="326" operator="containsText" text="3">
      <formula>NOT(ISERROR(SEARCH(("3"),(I13))))</formula>
    </cfRule>
  </conditionalFormatting>
  <conditionalFormatting sqref="I13:M13">
    <cfRule type="containsText" dxfId="9" priority="327" operator="containsText" text="2">
      <formula>NOT(ISERROR(SEARCH(("2"),(I13))))</formula>
    </cfRule>
  </conditionalFormatting>
  <conditionalFormatting sqref="I13:M13">
    <cfRule type="containsText" dxfId="10" priority="328" operator="containsText" text="1">
      <formula>NOT(ISERROR(SEARCH(("1"),(I13))))</formula>
    </cfRule>
  </conditionalFormatting>
  <conditionalFormatting sqref="I13:M13">
    <cfRule type="containsText" dxfId="10" priority="329" operator="containsText" text="L">
      <formula>NOT(ISERROR(SEARCH(("L"),(I13))))</formula>
    </cfRule>
  </conditionalFormatting>
  <conditionalFormatting sqref="I13:M14">
    <cfRule type="containsText" dxfId="12" priority="330" operator="containsText" text="ex">
      <formula>NOT(ISERROR(SEARCH(("ex"),(I13))))</formula>
    </cfRule>
  </conditionalFormatting>
  <conditionalFormatting sqref="I13:M14">
    <cfRule type="containsText" dxfId="6" priority="331" operator="containsText" text="curso">
      <formula>NOT(ISERROR(SEARCH(("curso"),(I13))))</formula>
    </cfRule>
  </conditionalFormatting>
  <conditionalFormatting sqref="I13:M14">
    <cfRule type="containsText" dxfId="13" priority="332" operator="containsText" text="indisp">
      <formula>NOT(ISERROR(SEARCH(("indisp"),(I13))))</formula>
    </cfRule>
  </conditionalFormatting>
  <conditionalFormatting sqref="I13:M14">
    <cfRule type="containsText" dxfId="4" priority="333" operator="containsText" text="B A J A">
      <formula>NOT(ISERROR(SEARCH(("B A J A"),(I13))))</formula>
    </cfRule>
  </conditionalFormatting>
  <conditionalFormatting sqref="I13:M14">
    <cfRule type="containsText" dxfId="4" priority="334" operator="containsText" text="BAJA">
      <formula>NOT(ISERROR(SEARCH(("BAJA"),(I13))))</formula>
    </cfRule>
  </conditionalFormatting>
  <conditionalFormatting sqref="I13:M14">
    <cfRule type="containsText" dxfId="4" priority="335" operator="containsText" text="V A C A C I O N E S">
      <formula>NOT(ISERROR(SEARCH(("V A C A C I O N E S"),(I13))))</formula>
    </cfRule>
  </conditionalFormatting>
  <conditionalFormatting sqref="I13:M14">
    <cfRule type="containsText" dxfId="4" priority="336" operator="containsText" text="Vacaciones">
      <formula>NOT(ISERROR(SEARCH(("Vacaciones"),(I13))))</formula>
    </cfRule>
  </conditionalFormatting>
  <conditionalFormatting sqref="I13:M14">
    <cfRule type="containsText" dxfId="6" priority="337" operator="containsText" text="JuB">
      <formula>NOT(ISERROR(SEARCH(("JuB"),(I13))))</formula>
    </cfRule>
  </conditionalFormatting>
  <conditionalFormatting sqref="I13:M14">
    <cfRule type="containsText" dxfId="6" priority="338" operator="containsText" text="JuC">
      <formula>NOT(ISERROR(SEARCH(("JuC"),(I13))))</formula>
    </cfRule>
  </conditionalFormatting>
  <conditionalFormatting sqref="I13:M14">
    <cfRule type="containsText" dxfId="5" priority="339" operator="containsText" text="AP">
      <formula>NOT(ISERROR(SEARCH(("AP"),(I13))))</formula>
    </cfRule>
  </conditionalFormatting>
  <conditionalFormatting sqref="I13:M14">
    <cfRule type="containsText" dxfId="6" priority="340" operator="containsText" text="Ts">
      <formula>NOT(ISERROR(SEARCH(("Ts"),(I13))))</formula>
    </cfRule>
  </conditionalFormatting>
  <conditionalFormatting sqref="I15:M15">
    <cfRule type="containsText" dxfId="7" priority="341" operator="containsText" text="D">
      <formula>NOT(ISERROR(SEARCH(("D"),(I15))))</formula>
    </cfRule>
  </conditionalFormatting>
  <conditionalFormatting sqref="I15:M15">
    <cfRule type="containsText" dxfId="8" priority="342" operator="containsText" text="3">
      <formula>NOT(ISERROR(SEARCH(("3"),(I15))))</formula>
    </cfRule>
  </conditionalFormatting>
  <conditionalFormatting sqref="I15:M15">
    <cfRule type="containsText" dxfId="9" priority="343" operator="containsText" text="2">
      <formula>NOT(ISERROR(SEARCH(("2"),(I15))))</formula>
    </cfRule>
  </conditionalFormatting>
  <conditionalFormatting sqref="I15:M15">
    <cfRule type="containsText" dxfId="10" priority="344" operator="containsText" text="1">
      <formula>NOT(ISERROR(SEARCH(("1"),(I15))))</formula>
    </cfRule>
  </conditionalFormatting>
  <conditionalFormatting sqref="I15:M15">
    <cfRule type="containsText" dxfId="10" priority="345" operator="containsText" text="L">
      <formula>NOT(ISERROR(SEARCH(("L"),(I15))))</formula>
    </cfRule>
  </conditionalFormatting>
  <conditionalFormatting sqref="I15:M16">
    <cfRule type="containsText" dxfId="12" priority="346" operator="containsText" text="ex">
      <formula>NOT(ISERROR(SEARCH(("ex"),(I15))))</formula>
    </cfRule>
  </conditionalFormatting>
  <conditionalFormatting sqref="I15:M16">
    <cfRule type="containsText" dxfId="6" priority="347" operator="containsText" text="curso">
      <formula>NOT(ISERROR(SEARCH(("curso"),(I15))))</formula>
    </cfRule>
  </conditionalFormatting>
  <conditionalFormatting sqref="I15:M16">
    <cfRule type="containsText" dxfId="13" priority="348" operator="containsText" text="indisp">
      <formula>NOT(ISERROR(SEARCH(("indisp"),(I15))))</formula>
    </cfRule>
  </conditionalFormatting>
  <conditionalFormatting sqref="I15:M16">
    <cfRule type="containsText" dxfId="4" priority="349" operator="containsText" text="B A J A">
      <formula>NOT(ISERROR(SEARCH(("B A J A"),(I15))))</formula>
    </cfRule>
  </conditionalFormatting>
  <conditionalFormatting sqref="I15:M16">
    <cfRule type="containsText" dxfId="4" priority="350" operator="containsText" text="BAJA">
      <formula>NOT(ISERROR(SEARCH(("BAJA"),(I15))))</formula>
    </cfRule>
  </conditionalFormatting>
  <conditionalFormatting sqref="I15:M16">
    <cfRule type="containsText" dxfId="4" priority="351" operator="containsText" text="V A C A C I O N E S">
      <formula>NOT(ISERROR(SEARCH(("V A C A C I O N E S"),(I15))))</formula>
    </cfRule>
  </conditionalFormatting>
  <conditionalFormatting sqref="I15:M16">
    <cfRule type="containsText" dxfId="4" priority="352" operator="containsText" text="Vacaciones">
      <formula>NOT(ISERROR(SEARCH(("Vacaciones"),(I15))))</formula>
    </cfRule>
  </conditionalFormatting>
  <conditionalFormatting sqref="I15:M16">
    <cfRule type="containsText" dxfId="6" priority="353" operator="containsText" text="JuB">
      <formula>NOT(ISERROR(SEARCH(("JuB"),(I15))))</formula>
    </cfRule>
  </conditionalFormatting>
  <conditionalFormatting sqref="I15:M16">
    <cfRule type="containsText" dxfId="6" priority="354" operator="containsText" text="JuC">
      <formula>NOT(ISERROR(SEARCH(("JuC"),(I15))))</formula>
    </cfRule>
  </conditionalFormatting>
  <conditionalFormatting sqref="I15:M16">
    <cfRule type="containsText" dxfId="5" priority="355" operator="containsText" text="AP">
      <formula>NOT(ISERROR(SEARCH(("AP"),(I15))))</formula>
    </cfRule>
  </conditionalFormatting>
  <conditionalFormatting sqref="I15:M16">
    <cfRule type="containsText" dxfId="6" priority="356" operator="containsText" text="Ts">
      <formula>NOT(ISERROR(SEARCH(("Ts"),(I15))))</formula>
    </cfRule>
  </conditionalFormatting>
  <conditionalFormatting sqref="I17:J17 M17">
    <cfRule type="containsText" dxfId="7" priority="357" operator="containsText" text="D">
      <formula>NOT(ISERROR(SEARCH(("D"),(I17))))</formula>
    </cfRule>
  </conditionalFormatting>
  <conditionalFormatting sqref="I17:J17 M17">
    <cfRule type="containsText" dxfId="8" priority="358" operator="containsText" text="3">
      <formula>NOT(ISERROR(SEARCH(("3"),(I17))))</formula>
    </cfRule>
  </conditionalFormatting>
  <conditionalFormatting sqref="I17:J17 M17">
    <cfRule type="containsText" dxfId="9" priority="359" operator="containsText" text="2">
      <formula>NOT(ISERROR(SEARCH(("2"),(I17))))</formula>
    </cfRule>
  </conditionalFormatting>
  <conditionalFormatting sqref="I17:J17 M17">
    <cfRule type="containsText" dxfId="10" priority="360" operator="containsText" text="1">
      <formula>NOT(ISERROR(SEARCH(("1"),(I17))))</formula>
    </cfRule>
  </conditionalFormatting>
  <conditionalFormatting sqref="I17:J17 M17">
    <cfRule type="containsText" dxfId="10" priority="361" operator="containsText" text="L">
      <formula>NOT(ISERROR(SEARCH(("L"),(I17))))</formula>
    </cfRule>
  </conditionalFormatting>
  <conditionalFormatting sqref="I17:J17 I18:M18 M17">
    <cfRule type="containsText" dxfId="12" priority="362" operator="containsText" text="ex">
      <formula>NOT(ISERROR(SEARCH(("ex"),(I17))))</formula>
    </cfRule>
  </conditionalFormatting>
  <conditionalFormatting sqref="I17:J17 I18:M18 M17">
    <cfRule type="containsText" dxfId="6" priority="363" operator="containsText" text="curso">
      <formula>NOT(ISERROR(SEARCH(("curso"),(I17))))</formula>
    </cfRule>
  </conditionalFormatting>
  <conditionalFormatting sqref="I17:J17 I18:M18 M17">
    <cfRule type="containsText" dxfId="13" priority="364" operator="containsText" text="indisp">
      <formula>NOT(ISERROR(SEARCH(("indisp"),(I17))))</formula>
    </cfRule>
  </conditionalFormatting>
  <conditionalFormatting sqref="I17:J17 I18:M18 M17">
    <cfRule type="containsText" dxfId="4" priority="365" operator="containsText" text="B A J A">
      <formula>NOT(ISERROR(SEARCH(("B A J A"),(I17))))</formula>
    </cfRule>
  </conditionalFormatting>
  <conditionalFormatting sqref="I17:J17 I18:M18 M17">
    <cfRule type="containsText" dxfId="4" priority="366" operator="containsText" text="BAJA">
      <formula>NOT(ISERROR(SEARCH(("BAJA"),(I17))))</formula>
    </cfRule>
  </conditionalFormatting>
  <conditionalFormatting sqref="I17:J17 I18:M18 M17">
    <cfRule type="containsText" dxfId="4" priority="367" operator="containsText" text="V A C A C I O N E S">
      <formula>NOT(ISERROR(SEARCH(("V A C A C I O N E S"),(I17))))</formula>
    </cfRule>
  </conditionalFormatting>
  <conditionalFormatting sqref="I17:J17 I18:M18 M17">
    <cfRule type="containsText" dxfId="4" priority="368" operator="containsText" text="Vacaciones">
      <formula>NOT(ISERROR(SEARCH(("Vacaciones"),(I17))))</formula>
    </cfRule>
  </conditionalFormatting>
  <conditionalFormatting sqref="I17:J17 I18:M18 M17">
    <cfRule type="containsText" dxfId="6" priority="369" operator="containsText" text="JuB">
      <formula>NOT(ISERROR(SEARCH(("JuB"),(I17))))</formula>
    </cfRule>
  </conditionalFormatting>
  <conditionalFormatting sqref="I17:J17 I18:M18 M17">
    <cfRule type="containsText" dxfId="6" priority="370" operator="containsText" text="JuC">
      <formula>NOT(ISERROR(SEARCH(("JuC"),(I17))))</formula>
    </cfRule>
  </conditionalFormatting>
  <conditionalFormatting sqref="I17:J17 I18:M18 M17">
    <cfRule type="containsText" dxfId="5" priority="371" operator="containsText" text="AP">
      <formula>NOT(ISERROR(SEARCH(("AP"),(I17))))</formula>
    </cfRule>
  </conditionalFormatting>
  <conditionalFormatting sqref="I17:J17 I18:M18 M17">
    <cfRule type="containsText" dxfId="6" priority="372" operator="containsText" text="Ts">
      <formula>NOT(ISERROR(SEARCH(("Ts"),(I17))))</formula>
    </cfRule>
  </conditionalFormatting>
  <conditionalFormatting sqref="I19:M19">
    <cfRule type="containsText" dxfId="7" priority="373" operator="containsText" text="D">
      <formula>NOT(ISERROR(SEARCH(("D"),(I19))))</formula>
    </cfRule>
  </conditionalFormatting>
  <conditionalFormatting sqref="I19:M19">
    <cfRule type="containsText" dxfId="8" priority="374" operator="containsText" text="3">
      <formula>NOT(ISERROR(SEARCH(("3"),(I19))))</formula>
    </cfRule>
  </conditionalFormatting>
  <conditionalFormatting sqref="I19:M19">
    <cfRule type="containsText" dxfId="9" priority="375" operator="containsText" text="2">
      <formula>NOT(ISERROR(SEARCH(("2"),(I19))))</formula>
    </cfRule>
  </conditionalFormatting>
  <conditionalFormatting sqref="I19:M19">
    <cfRule type="containsText" dxfId="10" priority="376" operator="containsText" text="1">
      <formula>NOT(ISERROR(SEARCH(("1"),(I19))))</formula>
    </cfRule>
  </conditionalFormatting>
  <conditionalFormatting sqref="I19:M19">
    <cfRule type="containsText" dxfId="10" priority="377" operator="containsText" text="L">
      <formula>NOT(ISERROR(SEARCH(("L"),(I19))))</formula>
    </cfRule>
  </conditionalFormatting>
  <conditionalFormatting sqref="I19:M20">
    <cfRule type="containsText" dxfId="12" priority="378" operator="containsText" text="ex">
      <formula>NOT(ISERROR(SEARCH(("ex"),(I19))))</formula>
    </cfRule>
  </conditionalFormatting>
  <conditionalFormatting sqref="I19:M20">
    <cfRule type="containsText" dxfId="6" priority="379" operator="containsText" text="curso">
      <formula>NOT(ISERROR(SEARCH(("curso"),(I19))))</formula>
    </cfRule>
  </conditionalFormatting>
  <conditionalFormatting sqref="I19:M20">
    <cfRule type="containsText" dxfId="13" priority="380" operator="containsText" text="indisp">
      <formula>NOT(ISERROR(SEARCH(("indisp"),(I19))))</formula>
    </cfRule>
  </conditionalFormatting>
  <conditionalFormatting sqref="I19:M20">
    <cfRule type="containsText" dxfId="4" priority="381" operator="containsText" text="B A J A">
      <formula>NOT(ISERROR(SEARCH(("B A J A"),(I19))))</formula>
    </cfRule>
  </conditionalFormatting>
  <conditionalFormatting sqref="I19:M20">
    <cfRule type="containsText" dxfId="4" priority="382" operator="containsText" text="BAJA">
      <formula>NOT(ISERROR(SEARCH(("BAJA"),(I19))))</formula>
    </cfRule>
  </conditionalFormatting>
  <conditionalFormatting sqref="I19:M20">
    <cfRule type="containsText" dxfId="4" priority="383" operator="containsText" text="V A C A C I O N E S">
      <formula>NOT(ISERROR(SEARCH(("V A C A C I O N E S"),(I19))))</formula>
    </cfRule>
  </conditionalFormatting>
  <conditionalFormatting sqref="I19:M20">
    <cfRule type="containsText" dxfId="4" priority="384" operator="containsText" text="Vacaciones">
      <formula>NOT(ISERROR(SEARCH(("Vacaciones"),(I19))))</formula>
    </cfRule>
  </conditionalFormatting>
  <conditionalFormatting sqref="I19:M20">
    <cfRule type="containsText" dxfId="6" priority="385" operator="containsText" text="JuB">
      <formula>NOT(ISERROR(SEARCH(("JuB"),(I19))))</formula>
    </cfRule>
  </conditionalFormatting>
  <conditionalFormatting sqref="I19:M20">
    <cfRule type="containsText" dxfId="6" priority="386" operator="containsText" text="JuC">
      <formula>NOT(ISERROR(SEARCH(("JuC"),(I19))))</formula>
    </cfRule>
  </conditionalFormatting>
  <conditionalFormatting sqref="I19:M20">
    <cfRule type="containsText" dxfId="5" priority="387" operator="containsText" text="AP">
      <formula>NOT(ISERROR(SEARCH(("AP"),(I19))))</formula>
    </cfRule>
  </conditionalFormatting>
  <conditionalFormatting sqref="I19:M20">
    <cfRule type="containsText" dxfId="6" priority="388" operator="containsText" text="Ts">
      <formula>NOT(ISERROR(SEARCH(("Ts"),(I19))))</formula>
    </cfRule>
  </conditionalFormatting>
  <conditionalFormatting sqref="I21:M21">
    <cfRule type="containsText" dxfId="7" priority="389" operator="containsText" text="D">
      <formula>NOT(ISERROR(SEARCH(("D"),(I21))))</formula>
    </cfRule>
  </conditionalFormatting>
  <conditionalFormatting sqref="I21:M21">
    <cfRule type="containsText" dxfId="8" priority="390" operator="containsText" text="3">
      <formula>NOT(ISERROR(SEARCH(("3"),(I21))))</formula>
    </cfRule>
  </conditionalFormatting>
  <conditionalFormatting sqref="I21:M21">
    <cfRule type="containsText" dxfId="9" priority="391" operator="containsText" text="2">
      <formula>NOT(ISERROR(SEARCH(("2"),(I21))))</formula>
    </cfRule>
  </conditionalFormatting>
  <conditionalFormatting sqref="I21:M21">
    <cfRule type="containsText" dxfId="10" priority="392" operator="containsText" text="1">
      <formula>NOT(ISERROR(SEARCH(("1"),(I21))))</formula>
    </cfRule>
  </conditionalFormatting>
  <conditionalFormatting sqref="I21:M21">
    <cfRule type="containsText" dxfId="10" priority="393" operator="containsText" text="L">
      <formula>NOT(ISERROR(SEARCH(("L"),(I21))))</formula>
    </cfRule>
  </conditionalFormatting>
  <conditionalFormatting sqref="I21:M22">
    <cfRule type="containsText" dxfId="12" priority="394" operator="containsText" text="ex">
      <formula>NOT(ISERROR(SEARCH(("ex"),(I21))))</formula>
    </cfRule>
  </conditionalFormatting>
  <conditionalFormatting sqref="I21:M22">
    <cfRule type="containsText" dxfId="6" priority="395" operator="containsText" text="curso">
      <formula>NOT(ISERROR(SEARCH(("curso"),(I21))))</formula>
    </cfRule>
  </conditionalFormatting>
  <conditionalFormatting sqref="I21:M22">
    <cfRule type="containsText" dxfId="13" priority="396" operator="containsText" text="indisp">
      <formula>NOT(ISERROR(SEARCH(("indisp"),(I21))))</formula>
    </cfRule>
  </conditionalFormatting>
  <conditionalFormatting sqref="I21:M22">
    <cfRule type="containsText" dxfId="4" priority="397" operator="containsText" text="B A J A">
      <formula>NOT(ISERROR(SEARCH(("B A J A"),(I21))))</formula>
    </cfRule>
  </conditionalFormatting>
  <conditionalFormatting sqref="I21:M22">
    <cfRule type="containsText" dxfId="4" priority="398" operator="containsText" text="BAJA">
      <formula>NOT(ISERROR(SEARCH(("BAJA"),(I21))))</formula>
    </cfRule>
  </conditionalFormatting>
  <conditionalFormatting sqref="I21:M22">
    <cfRule type="containsText" dxfId="4" priority="399" operator="containsText" text="V A C A C I O N E S">
      <formula>NOT(ISERROR(SEARCH(("V A C A C I O N E S"),(I21))))</formula>
    </cfRule>
  </conditionalFormatting>
  <conditionalFormatting sqref="I21:M22">
    <cfRule type="containsText" dxfId="4" priority="400" operator="containsText" text="Vacaciones">
      <formula>NOT(ISERROR(SEARCH(("Vacaciones"),(I21))))</formula>
    </cfRule>
  </conditionalFormatting>
  <conditionalFormatting sqref="I21:M22">
    <cfRule type="containsText" dxfId="6" priority="401" operator="containsText" text="JuB">
      <formula>NOT(ISERROR(SEARCH(("JuB"),(I21))))</formula>
    </cfRule>
  </conditionalFormatting>
  <conditionalFormatting sqref="I21:M22">
    <cfRule type="containsText" dxfId="6" priority="402" operator="containsText" text="JuC">
      <formula>NOT(ISERROR(SEARCH(("JuC"),(I21))))</formula>
    </cfRule>
  </conditionalFormatting>
  <conditionalFormatting sqref="I21:M22">
    <cfRule type="containsText" dxfId="5" priority="403" operator="containsText" text="AP">
      <formula>NOT(ISERROR(SEARCH(("AP"),(I21))))</formula>
    </cfRule>
  </conditionalFormatting>
  <conditionalFormatting sqref="I21:M22">
    <cfRule type="containsText" dxfId="6" priority="404" operator="containsText" text="Ts">
      <formula>NOT(ISERROR(SEARCH(("Ts"),(I21))))</formula>
    </cfRule>
  </conditionalFormatting>
  <conditionalFormatting sqref="I23:M23">
    <cfRule type="containsText" dxfId="7" priority="405" operator="containsText" text="D">
      <formula>NOT(ISERROR(SEARCH(("D"),(I23))))</formula>
    </cfRule>
  </conditionalFormatting>
  <conditionalFormatting sqref="I23:M23">
    <cfRule type="containsText" dxfId="8" priority="406" operator="containsText" text="3">
      <formula>NOT(ISERROR(SEARCH(("3"),(I23))))</formula>
    </cfRule>
  </conditionalFormatting>
  <conditionalFormatting sqref="I23:M23">
    <cfRule type="containsText" dxfId="9" priority="407" operator="containsText" text="2">
      <formula>NOT(ISERROR(SEARCH(("2"),(I23))))</formula>
    </cfRule>
  </conditionalFormatting>
  <conditionalFormatting sqref="I23:M23">
    <cfRule type="containsText" dxfId="10" priority="408" operator="containsText" text="1">
      <formula>NOT(ISERROR(SEARCH(("1"),(I23))))</formula>
    </cfRule>
  </conditionalFormatting>
  <conditionalFormatting sqref="I23:M23">
    <cfRule type="containsText" dxfId="10" priority="409" operator="containsText" text="L">
      <formula>NOT(ISERROR(SEARCH(("L"),(I23))))</formula>
    </cfRule>
  </conditionalFormatting>
  <conditionalFormatting sqref="I23:M24">
    <cfRule type="containsText" dxfId="12" priority="410" operator="containsText" text="ex">
      <formula>NOT(ISERROR(SEARCH(("ex"),(I23))))</formula>
    </cfRule>
  </conditionalFormatting>
  <conditionalFormatting sqref="I23:M24">
    <cfRule type="containsText" dxfId="6" priority="411" operator="containsText" text="curso">
      <formula>NOT(ISERROR(SEARCH(("curso"),(I23))))</formula>
    </cfRule>
  </conditionalFormatting>
  <conditionalFormatting sqref="I23:M24">
    <cfRule type="containsText" dxfId="13" priority="412" operator="containsText" text="indisp">
      <formula>NOT(ISERROR(SEARCH(("indisp"),(I23))))</formula>
    </cfRule>
  </conditionalFormatting>
  <conditionalFormatting sqref="I23:M24">
    <cfRule type="containsText" dxfId="4" priority="413" operator="containsText" text="B A J A">
      <formula>NOT(ISERROR(SEARCH(("B A J A"),(I23))))</formula>
    </cfRule>
  </conditionalFormatting>
  <conditionalFormatting sqref="I23:M24">
    <cfRule type="containsText" dxfId="4" priority="414" operator="containsText" text="BAJA">
      <formula>NOT(ISERROR(SEARCH(("BAJA"),(I23))))</formula>
    </cfRule>
  </conditionalFormatting>
  <conditionalFormatting sqref="I23:M24">
    <cfRule type="containsText" dxfId="4" priority="415" operator="containsText" text="V A C A C I O N E S">
      <formula>NOT(ISERROR(SEARCH(("V A C A C I O N E S"),(I23))))</formula>
    </cfRule>
  </conditionalFormatting>
  <conditionalFormatting sqref="I23:M24">
    <cfRule type="containsText" dxfId="4" priority="416" operator="containsText" text="Vacaciones">
      <formula>NOT(ISERROR(SEARCH(("Vacaciones"),(I23))))</formula>
    </cfRule>
  </conditionalFormatting>
  <conditionalFormatting sqref="I23:M24">
    <cfRule type="containsText" dxfId="6" priority="417" operator="containsText" text="JuB">
      <formula>NOT(ISERROR(SEARCH(("JuB"),(I23))))</formula>
    </cfRule>
  </conditionalFormatting>
  <conditionalFormatting sqref="I23:M24">
    <cfRule type="containsText" dxfId="6" priority="418" operator="containsText" text="JuC">
      <formula>NOT(ISERROR(SEARCH(("JuC"),(I23))))</formula>
    </cfRule>
  </conditionalFormatting>
  <conditionalFormatting sqref="I23:M24">
    <cfRule type="containsText" dxfId="5" priority="419" operator="containsText" text="AP">
      <formula>NOT(ISERROR(SEARCH(("AP"),(I23))))</formula>
    </cfRule>
  </conditionalFormatting>
  <conditionalFormatting sqref="I23:M24">
    <cfRule type="containsText" dxfId="6" priority="420" operator="containsText" text="Ts">
      <formula>NOT(ISERROR(SEARCH(("Ts"),(I23))))</formula>
    </cfRule>
  </conditionalFormatting>
  <conditionalFormatting sqref="I25:M25">
    <cfRule type="containsText" dxfId="7" priority="421" operator="containsText" text="D">
      <formula>NOT(ISERROR(SEARCH(("D"),(I25))))</formula>
    </cfRule>
  </conditionalFormatting>
  <conditionalFormatting sqref="I25:M25">
    <cfRule type="containsText" dxfId="8" priority="422" operator="containsText" text="3">
      <formula>NOT(ISERROR(SEARCH(("3"),(I25))))</formula>
    </cfRule>
  </conditionalFormatting>
  <conditionalFormatting sqref="I25:M25">
    <cfRule type="containsText" dxfId="9" priority="423" operator="containsText" text="2">
      <formula>NOT(ISERROR(SEARCH(("2"),(I25))))</formula>
    </cfRule>
  </conditionalFormatting>
  <conditionalFormatting sqref="I25:M25">
    <cfRule type="containsText" dxfId="10" priority="424" operator="containsText" text="1">
      <formula>NOT(ISERROR(SEARCH(("1"),(I25))))</formula>
    </cfRule>
  </conditionalFormatting>
  <conditionalFormatting sqref="I25:M25">
    <cfRule type="containsText" dxfId="10" priority="425" operator="containsText" text="L">
      <formula>NOT(ISERROR(SEARCH(("L"),(I25))))</formula>
    </cfRule>
  </conditionalFormatting>
  <conditionalFormatting sqref="I25:M26">
    <cfRule type="containsText" dxfId="12" priority="426" operator="containsText" text="ex">
      <formula>NOT(ISERROR(SEARCH(("ex"),(I25))))</formula>
    </cfRule>
  </conditionalFormatting>
  <conditionalFormatting sqref="I25:M26">
    <cfRule type="containsText" dxfId="6" priority="427" operator="containsText" text="curso">
      <formula>NOT(ISERROR(SEARCH(("curso"),(I25))))</formula>
    </cfRule>
  </conditionalFormatting>
  <conditionalFormatting sqref="I25:M26">
    <cfRule type="containsText" dxfId="13" priority="428" operator="containsText" text="indisp">
      <formula>NOT(ISERROR(SEARCH(("indisp"),(I25))))</formula>
    </cfRule>
  </conditionalFormatting>
  <conditionalFormatting sqref="I25:M26">
    <cfRule type="containsText" dxfId="4" priority="429" operator="containsText" text="B A J A">
      <formula>NOT(ISERROR(SEARCH(("B A J A"),(I25))))</formula>
    </cfRule>
  </conditionalFormatting>
  <conditionalFormatting sqref="I25:M26">
    <cfRule type="containsText" dxfId="4" priority="430" operator="containsText" text="BAJA">
      <formula>NOT(ISERROR(SEARCH(("BAJA"),(I25))))</formula>
    </cfRule>
  </conditionalFormatting>
  <conditionalFormatting sqref="I25:M26">
    <cfRule type="containsText" dxfId="4" priority="431" operator="containsText" text="V A C A C I O N E S">
      <formula>NOT(ISERROR(SEARCH(("V A C A C I O N E S"),(I25))))</formula>
    </cfRule>
  </conditionalFormatting>
  <conditionalFormatting sqref="I25:M26">
    <cfRule type="containsText" dxfId="4" priority="432" operator="containsText" text="Vacaciones">
      <formula>NOT(ISERROR(SEARCH(("Vacaciones"),(I25))))</formula>
    </cfRule>
  </conditionalFormatting>
  <conditionalFormatting sqref="I25:M26">
    <cfRule type="containsText" dxfId="6" priority="433" operator="containsText" text="JuB">
      <formula>NOT(ISERROR(SEARCH(("JuB"),(I25))))</formula>
    </cfRule>
  </conditionalFormatting>
  <conditionalFormatting sqref="I25:M26">
    <cfRule type="containsText" dxfId="6" priority="434" operator="containsText" text="JuC">
      <formula>NOT(ISERROR(SEARCH(("JuC"),(I25))))</formula>
    </cfRule>
  </conditionalFormatting>
  <conditionalFormatting sqref="I25:M26">
    <cfRule type="containsText" dxfId="5" priority="435" operator="containsText" text="AP">
      <formula>NOT(ISERROR(SEARCH(("AP"),(I25))))</formula>
    </cfRule>
  </conditionalFormatting>
  <conditionalFormatting sqref="I25:M26">
    <cfRule type="containsText" dxfId="6" priority="436" operator="containsText" text="Ts">
      <formula>NOT(ISERROR(SEARCH(("Ts"),(I25))))</formula>
    </cfRule>
  </conditionalFormatting>
  <conditionalFormatting sqref="I27:M27">
    <cfRule type="containsText" dxfId="7" priority="437" operator="containsText" text="D">
      <formula>NOT(ISERROR(SEARCH(("D"),(I27))))</formula>
    </cfRule>
  </conditionalFormatting>
  <conditionalFormatting sqref="I27:M27">
    <cfRule type="containsText" dxfId="8" priority="438" operator="containsText" text="3">
      <formula>NOT(ISERROR(SEARCH(("3"),(I27))))</formula>
    </cfRule>
  </conditionalFormatting>
  <conditionalFormatting sqref="I27:M27">
    <cfRule type="containsText" dxfId="9" priority="439" operator="containsText" text="2">
      <formula>NOT(ISERROR(SEARCH(("2"),(I27))))</formula>
    </cfRule>
  </conditionalFormatting>
  <conditionalFormatting sqref="I27:M27">
    <cfRule type="containsText" dxfId="10" priority="440" operator="containsText" text="1">
      <formula>NOT(ISERROR(SEARCH(("1"),(I27))))</formula>
    </cfRule>
  </conditionalFormatting>
  <conditionalFormatting sqref="I27:M27">
    <cfRule type="containsText" dxfId="10" priority="441" operator="containsText" text="L">
      <formula>NOT(ISERROR(SEARCH(("L"),(I27))))</formula>
    </cfRule>
  </conditionalFormatting>
  <conditionalFormatting sqref="I27:M28">
    <cfRule type="containsText" dxfId="12" priority="442" operator="containsText" text="ex">
      <formula>NOT(ISERROR(SEARCH(("ex"),(I27))))</formula>
    </cfRule>
  </conditionalFormatting>
  <conditionalFormatting sqref="I27:M28">
    <cfRule type="containsText" dxfId="6" priority="443" operator="containsText" text="curso">
      <formula>NOT(ISERROR(SEARCH(("curso"),(I27))))</formula>
    </cfRule>
  </conditionalFormatting>
  <conditionalFormatting sqref="I27:M28">
    <cfRule type="containsText" dxfId="13" priority="444" operator="containsText" text="indisp">
      <formula>NOT(ISERROR(SEARCH(("indisp"),(I27))))</formula>
    </cfRule>
  </conditionalFormatting>
  <conditionalFormatting sqref="I27:M28">
    <cfRule type="containsText" dxfId="4" priority="445" operator="containsText" text="B A J A">
      <formula>NOT(ISERROR(SEARCH(("B A J A"),(I27))))</formula>
    </cfRule>
  </conditionalFormatting>
  <conditionalFormatting sqref="I27:M28">
    <cfRule type="containsText" dxfId="4" priority="446" operator="containsText" text="BAJA">
      <formula>NOT(ISERROR(SEARCH(("BAJA"),(I27))))</formula>
    </cfRule>
  </conditionalFormatting>
  <conditionalFormatting sqref="I27:M28">
    <cfRule type="containsText" dxfId="4" priority="447" operator="containsText" text="V A C A C I O N E S">
      <formula>NOT(ISERROR(SEARCH(("V A C A C I O N E S"),(I27))))</formula>
    </cfRule>
  </conditionalFormatting>
  <conditionalFormatting sqref="I27:M28">
    <cfRule type="containsText" dxfId="4" priority="448" operator="containsText" text="Vacaciones">
      <formula>NOT(ISERROR(SEARCH(("Vacaciones"),(I27))))</formula>
    </cfRule>
  </conditionalFormatting>
  <conditionalFormatting sqref="I27:M28">
    <cfRule type="containsText" dxfId="6" priority="449" operator="containsText" text="JuB">
      <formula>NOT(ISERROR(SEARCH(("JuB"),(I27))))</formula>
    </cfRule>
  </conditionalFormatting>
  <conditionalFormatting sqref="I27:M28">
    <cfRule type="containsText" dxfId="6" priority="450" operator="containsText" text="JuC">
      <formula>NOT(ISERROR(SEARCH(("JuC"),(I27))))</formula>
    </cfRule>
  </conditionalFormatting>
  <conditionalFormatting sqref="I27:M28">
    <cfRule type="containsText" dxfId="5" priority="451" operator="containsText" text="AP">
      <formula>NOT(ISERROR(SEARCH(("AP"),(I27))))</formula>
    </cfRule>
  </conditionalFormatting>
  <conditionalFormatting sqref="I27:M28">
    <cfRule type="containsText" dxfId="6" priority="452" operator="containsText" text="Ts">
      <formula>NOT(ISERROR(SEARCH(("Ts"),(I27))))</formula>
    </cfRule>
  </conditionalFormatting>
  <conditionalFormatting sqref="I29:M29">
    <cfRule type="containsText" dxfId="7" priority="453" operator="containsText" text="D">
      <formula>NOT(ISERROR(SEARCH(("D"),(I29))))</formula>
    </cfRule>
  </conditionalFormatting>
  <conditionalFormatting sqref="I29:M29">
    <cfRule type="containsText" dxfId="8" priority="454" operator="containsText" text="3">
      <formula>NOT(ISERROR(SEARCH(("3"),(I29))))</formula>
    </cfRule>
  </conditionalFormatting>
  <conditionalFormatting sqref="I29:M29">
    <cfRule type="containsText" dxfId="9" priority="455" operator="containsText" text="2">
      <formula>NOT(ISERROR(SEARCH(("2"),(I29))))</formula>
    </cfRule>
  </conditionalFormatting>
  <conditionalFormatting sqref="I29:M29">
    <cfRule type="containsText" dxfId="10" priority="456" operator="containsText" text="1">
      <formula>NOT(ISERROR(SEARCH(("1"),(I29))))</formula>
    </cfRule>
  </conditionalFormatting>
  <conditionalFormatting sqref="I29:M29">
    <cfRule type="containsText" dxfId="10" priority="457" operator="containsText" text="L">
      <formula>NOT(ISERROR(SEARCH(("L"),(I29))))</formula>
    </cfRule>
  </conditionalFormatting>
  <conditionalFormatting sqref="I29:M30">
    <cfRule type="containsText" dxfId="12" priority="458" operator="containsText" text="ex">
      <formula>NOT(ISERROR(SEARCH(("ex"),(I29))))</formula>
    </cfRule>
  </conditionalFormatting>
  <conditionalFormatting sqref="I29:M30">
    <cfRule type="containsText" dxfId="6" priority="459" operator="containsText" text="curso">
      <formula>NOT(ISERROR(SEARCH(("curso"),(I29))))</formula>
    </cfRule>
  </conditionalFormatting>
  <conditionalFormatting sqref="I29:M30">
    <cfRule type="containsText" dxfId="13" priority="460" operator="containsText" text="indisp">
      <formula>NOT(ISERROR(SEARCH(("indisp"),(I29))))</formula>
    </cfRule>
  </conditionalFormatting>
  <conditionalFormatting sqref="I29:M30">
    <cfRule type="containsText" dxfId="4" priority="461" operator="containsText" text="B A J A">
      <formula>NOT(ISERROR(SEARCH(("B A J A"),(I29))))</formula>
    </cfRule>
  </conditionalFormatting>
  <conditionalFormatting sqref="I29:M30">
    <cfRule type="containsText" dxfId="4" priority="462" operator="containsText" text="BAJA">
      <formula>NOT(ISERROR(SEARCH(("BAJA"),(I29))))</formula>
    </cfRule>
  </conditionalFormatting>
  <conditionalFormatting sqref="I29:M30">
    <cfRule type="containsText" dxfId="4" priority="463" operator="containsText" text="V A C A C I O N E S">
      <formula>NOT(ISERROR(SEARCH(("V A C A C I O N E S"),(I29))))</formula>
    </cfRule>
  </conditionalFormatting>
  <conditionalFormatting sqref="I29:M30">
    <cfRule type="containsText" dxfId="4" priority="464" operator="containsText" text="Vacaciones">
      <formula>NOT(ISERROR(SEARCH(("Vacaciones"),(I29))))</formula>
    </cfRule>
  </conditionalFormatting>
  <conditionalFormatting sqref="I29:M30">
    <cfRule type="containsText" dxfId="6" priority="465" operator="containsText" text="JuB">
      <formula>NOT(ISERROR(SEARCH(("JuB"),(I29))))</formula>
    </cfRule>
  </conditionalFormatting>
  <conditionalFormatting sqref="I29:M30">
    <cfRule type="containsText" dxfId="6" priority="466" operator="containsText" text="JuC">
      <formula>NOT(ISERROR(SEARCH(("JuC"),(I29))))</formula>
    </cfRule>
  </conditionalFormatting>
  <conditionalFormatting sqref="I29:M30">
    <cfRule type="containsText" dxfId="5" priority="467" operator="containsText" text="AP">
      <formula>NOT(ISERROR(SEARCH(("AP"),(I29))))</formula>
    </cfRule>
  </conditionalFormatting>
  <conditionalFormatting sqref="I29:M30">
    <cfRule type="containsText" dxfId="6" priority="468" operator="containsText" text="Ts">
      <formula>NOT(ISERROR(SEARCH(("Ts"),(I29))))</formula>
    </cfRule>
  </conditionalFormatting>
  <conditionalFormatting sqref="I31:M31">
    <cfRule type="containsText" dxfId="7" priority="469" operator="containsText" text="D">
      <formula>NOT(ISERROR(SEARCH(("D"),(I31))))</formula>
    </cfRule>
  </conditionalFormatting>
  <conditionalFormatting sqref="I31:M31">
    <cfRule type="containsText" dxfId="8" priority="470" operator="containsText" text="3">
      <formula>NOT(ISERROR(SEARCH(("3"),(I31))))</formula>
    </cfRule>
  </conditionalFormatting>
  <conditionalFormatting sqref="I31:M31">
    <cfRule type="containsText" dxfId="9" priority="471" operator="containsText" text="2">
      <formula>NOT(ISERROR(SEARCH(("2"),(I31))))</formula>
    </cfRule>
  </conditionalFormatting>
  <conditionalFormatting sqref="I31:M31">
    <cfRule type="containsText" dxfId="10" priority="472" operator="containsText" text="1">
      <formula>NOT(ISERROR(SEARCH(("1"),(I31))))</formula>
    </cfRule>
  </conditionalFormatting>
  <conditionalFormatting sqref="I31:M31">
    <cfRule type="containsText" dxfId="10" priority="473" operator="containsText" text="L">
      <formula>NOT(ISERROR(SEARCH(("L"),(I31))))</formula>
    </cfRule>
  </conditionalFormatting>
  <conditionalFormatting sqref="I31:M32 T32:U32">
    <cfRule type="containsText" dxfId="12" priority="474" operator="containsText" text="ex">
      <formula>NOT(ISERROR(SEARCH(("ex"),(I31))))</formula>
    </cfRule>
  </conditionalFormatting>
  <conditionalFormatting sqref="I31:M32 T32:U32">
    <cfRule type="containsText" dxfId="6" priority="475" operator="containsText" text="curso">
      <formula>NOT(ISERROR(SEARCH(("curso"),(I31))))</formula>
    </cfRule>
  </conditionalFormatting>
  <conditionalFormatting sqref="I31:M32 T32:U32">
    <cfRule type="containsText" dxfId="13" priority="476" operator="containsText" text="indisp">
      <formula>NOT(ISERROR(SEARCH(("indisp"),(I31))))</formula>
    </cfRule>
  </conditionalFormatting>
  <conditionalFormatting sqref="I31:M32 T32:U32">
    <cfRule type="containsText" dxfId="4" priority="477" operator="containsText" text="B A J A">
      <formula>NOT(ISERROR(SEARCH(("B A J A"),(I31))))</formula>
    </cfRule>
  </conditionalFormatting>
  <conditionalFormatting sqref="I31:M32 T32:U32">
    <cfRule type="containsText" dxfId="4" priority="478" operator="containsText" text="BAJA">
      <formula>NOT(ISERROR(SEARCH(("BAJA"),(I31))))</formula>
    </cfRule>
  </conditionalFormatting>
  <conditionalFormatting sqref="I31:M32 T32:U32">
    <cfRule type="containsText" dxfId="4" priority="479" operator="containsText" text="V A C A C I O N E S">
      <formula>NOT(ISERROR(SEARCH(("V A C A C I O N E S"),(I31))))</formula>
    </cfRule>
  </conditionalFormatting>
  <conditionalFormatting sqref="I31:M32 T32:U32">
    <cfRule type="containsText" dxfId="4" priority="480" operator="containsText" text="Vacaciones">
      <formula>NOT(ISERROR(SEARCH(("Vacaciones"),(I31))))</formula>
    </cfRule>
  </conditionalFormatting>
  <conditionalFormatting sqref="I31:M32 T32:U32">
    <cfRule type="containsText" dxfId="6" priority="481" operator="containsText" text="JuB">
      <formula>NOT(ISERROR(SEARCH(("JuB"),(I31))))</formula>
    </cfRule>
  </conditionalFormatting>
  <conditionalFormatting sqref="I31:M32 T32:U32">
    <cfRule type="containsText" dxfId="6" priority="482" operator="containsText" text="JuC">
      <formula>NOT(ISERROR(SEARCH(("JuC"),(I31))))</formula>
    </cfRule>
  </conditionalFormatting>
  <conditionalFormatting sqref="I31:M32 T32:U32">
    <cfRule type="containsText" dxfId="5" priority="483" operator="containsText" text="AP">
      <formula>NOT(ISERROR(SEARCH(("AP"),(I31))))</formula>
    </cfRule>
  </conditionalFormatting>
  <conditionalFormatting sqref="I31:M32 T32:U32">
    <cfRule type="containsText" dxfId="6" priority="484" operator="containsText" text="Ts">
      <formula>NOT(ISERROR(SEARCH(("Ts"),(I31))))</formula>
    </cfRule>
  </conditionalFormatting>
  <conditionalFormatting sqref="I33">
    <cfRule type="containsText" dxfId="7" priority="485" operator="containsText" text="D">
      <formula>NOT(ISERROR(SEARCH(("D"),(I33))))</formula>
    </cfRule>
  </conditionalFormatting>
  <conditionalFormatting sqref="I33">
    <cfRule type="containsText" dxfId="8" priority="486" operator="containsText" text="3">
      <formula>NOT(ISERROR(SEARCH(("3"),(I33))))</formula>
    </cfRule>
  </conditionalFormatting>
  <conditionalFormatting sqref="I33">
    <cfRule type="containsText" dxfId="9" priority="487" operator="containsText" text="2">
      <formula>NOT(ISERROR(SEARCH(("2"),(I33))))</formula>
    </cfRule>
  </conditionalFormatting>
  <conditionalFormatting sqref="I33">
    <cfRule type="containsText" dxfId="10" priority="488" operator="containsText" text="1">
      <formula>NOT(ISERROR(SEARCH(("1"),(I33))))</formula>
    </cfRule>
  </conditionalFormatting>
  <conditionalFormatting sqref="I33">
    <cfRule type="containsText" dxfId="10" priority="489" operator="containsText" text="L">
      <formula>NOT(ISERROR(SEARCH(("L"),(I33))))</formula>
    </cfRule>
  </conditionalFormatting>
  <conditionalFormatting sqref="I33 I34:M34 I37:M38">
    <cfRule type="containsText" dxfId="12" priority="490" operator="containsText" text="ex">
      <formula>NOT(ISERROR(SEARCH(("ex"),(I33))))</formula>
    </cfRule>
  </conditionalFormatting>
  <conditionalFormatting sqref="I33 I34:M34 I37:M38">
    <cfRule type="containsText" dxfId="6" priority="491" operator="containsText" text="curso">
      <formula>NOT(ISERROR(SEARCH(("curso"),(I33))))</formula>
    </cfRule>
  </conditionalFormatting>
  <conditionalFormatting sqref="I33 I34:M34 I37:M38">
    <cfRule type="containsText" dxfId="13" priority="492" operator="containsText" text="indisp">
      <formula>NOT(ISERROR(SEARCH(("indisp"),(I33))))</formula>
    </cfRule>
  </conditionalFormatting>
  <conditionalFormatting sqref="I33 I34:M34 I37:M38">
    <cfRule type="containsText" dxfId="4" priority="493" operator="containsText" text="B A J A">
      <formula>NOT(ISERROR(SEARCH(("B A J A"),(I33))))</formula>
    </cfRule>
  </conditionalFormatting>
  <conditionalFormatting sqref="I33 I34:M34 I37:M38">
    <cfRule type="containsText" dxfId="4" priority="494" operator="containsText" text="BAJA">
      <formula>NOT(ISERROR(SEARCH(("BAJA"),(I33))))</formula>
    </cfRule>
  </conditionalFormatting>
  <conditionalFormatting sqref="I33 I34:M34 I37:M38">
    <cfRule type="containsText" dxfId="4" priority="495" operator="containsText" text="V A C A C I O N E S">
      <formula>NOT(ISERROR(SEARCH(("V A C A C I O N E S"),(I33))))</formula>
    </cfRule>
  </conditionalFormatting>
  <conditionalFormatting sqref="I33 I34:M34 I37:M38">
    <cfRule type="containsText" dxfId="4" priority="496" operator="containsText" text="Vacaciones">
      <formula>NOT(ISERROR(SEARCH(("Vacaciones"),(I33))))</formula>
    </cfRule>
  </conditionalFormatting>
  <conditionalFormatting sqref="I33 I34:M34 I37:M38">
    <cfRule type="containsText" dxfId="6" priority="497" operator="containsText" text="JuB">
      <formula>NOT(ISERROR(SEARCH(("JuB"),(I33))))</formula>
    </cfRule>
  </conditionalFormatting>
  <conditionalFormatting sqref="I33 I34:M34 I37:M38">
    <cfRule type="containsText" dxfId="6" priority="498" operator="containsText" text="JuC">
      <formula>NOT(ISERROR(SEARCH(("JuC"),(I33))))</formula>
    </cfRule>
  </conditionalFormatting>
  <conditionalFormatting sqref="I33 I34:M34 I37:M38">
    <cfRule type="containsText" dxfId="5" priority="499" operator="containsText" text="AP">
      <formula>NOT(ISERROR(SEARCH(("AP"),(I33))))</formula>
    </cfRule>
  </conditionalFormatting>
  <conditionalFormatting sqref="I33 I34:M34 I37:M38">
    <cfRule type="containsText" dxfId="6" priority="500" operator="containsText" text="Ts">
      <formula>NOT(ISERROR(SEARCH(("Ts"),(I33))))</formula>
    </cfRule>
  </conditionalFormatting>
  <conditionalFormatting sqref="I39 M39">
    <cfRule type="containsText" dxfId="7" priority="501" operator="containsText" text="D">
      <formula>NOT(ISERROR(SEARCH(("D"),(I39))))</formula>
    </cfRule>
  </conditionalFormatting>
  <conditionalFormatting sqref="I39 M39">
    <cfRule type="containsText" dxfId="8" priority="502" operator="containsText" text="3">
      <formula>NOT(ISERROR(SEARCH(("3"),(I39))))</formula>
    </cfRule>
  </conditionalFormatting>
  <conditionalFormatting sqref="I39 M39">
    <cfRule type="containsText" dxfId="9" priority="503" operator="containsText" text="2">
      <formula>NOT(ISERROR(SEARCH(("2"),(I39))))</formula>
    </cfRule>
  </conditionalFormatting>
  <conditionalFormatting sqref="I39 M39">
    <cfRule type="containsText" dxfId="10" priority="504" operator="containsText" text="1">
      <formula>NOT(ISERROR(SEARCH(("1"),(I39))))</formula>
    </cfRule>
  </conditionalFormatting>
  <conditionalFormatting sqref="I39 M39">
    <cfRule type="containsText" dxfId="10" priority="505" operator="containsText" text="L">
      <formula>NOT(ISERROR(SEARCH(("L"),(I39))))</formula>
    </cfRule>
  </conditionalFormatting>
  <conditionalFormatting sqref="I39 I40:M40 M39">
    <cfRule type="containsText" dxfId="12" priority="506" operator="containsText" text="ex">
      <formula>NOT(ISERROR(SEARCH(("ex"),(I39))))</formula>
    </cfRule>
  </conditionalFormatting>
  <conditionalFormatting sqref="I39 I40:M40 M39">
    <cfRule type="containsText" dxfId="6" priority="507" operator="containsText" text="curso">
      <formula>NOT(ISERROR(SEARCH(("curso"),(I39))))</formula>
    </cfRule>
  </conditionalFormatting>
  <conditionalFormatting sqref="I39 I40:M40 M39">
    <cfRule type="containsText" dxfId="13" priority="508" operator="containsText" text="indisp">
      <formula>NOT(ISERROR(SEARCH(("indisp"),(I39))))</formula>
    </cfRule>
  </conditionalFormatting>
  <conditionalFormatting sqref="I39 I40:M40 M39">
    <cfRule type="containsText" dxfId="4" priority="509" operator="containsText" text="B A J A">
      <formula>NOT(ISERROR(SEARCH(("B A J A"),(I39))))</formula>
    </cfRule>
  </conditionalFormatting>
  <conditionalFormatting sqref="I39 I40:M40 M39">
    <cfRule type="containsText" dxfId="4" priority="510" operator="containsText" text="BAJA">
      <formula>NOT(ISERROR(SEARCH(("BAJA"),(I39))))</formula>
    </cfRule>
  </conditionalFormatting>
  <conditionalFormatting sqref="I39 I40:M40 M39">
    <cfRule type="containsText" dxfId="4" priority="511" operator="containsText" text="V A C A C I O N E S">
      <formula>NOT(ISERROR(SEARCH(("V A C A C I O N E S"),(I39))))</formula>
    </cfRule>
  </conditionalFormatting>
  <conditionalFormatting sqref="I39 I40:M40 M39">
    <cfRule type="containsText" dxfId="4" priority="512" operator="containsText" text="Vacaciones">
      <formula>NOT(ISERROR(SEARCH(("Vacaciones"),(I39))))</formula>
    </cfRule>
  </conditionalFormatting>
  <conditionalFormatting sqref="I39 I40:M40 M39">
    <cfRule type="containsText" dxfId="6" priority="513" operator="containsText" text="JuB">
      <formula>NOT(ISERROR(SEARCH(("JuB"),(I39))))</formula>
    </cfRule>
  </conditionalFormatting>
  <conditionalFormatting sqref="I39 I40:M40 M39">
    <cfRule type="containsText" dxfId="6" priority="514" operator="containsText" text="JuC">
      <formula>NOT(ISERROR(SEARCH(("JuC"),(I39))))</formula>
    </cfRule>
  </conditionalFormatting>
  <conditionalFormatting sqref="I39 I40:M40 M39">
    <cfRule type="containsText" dxfId="5" priority="515" operator="containsText" text="AP">
      <formula>NOT(ISERROR(SEARCH(("AP"),(I39))))</formula>
    </cfRule>
  </conditionalFormatting>
  <conditionalFormatting sqref="I39 I40:M40 M39">
    <cfRule type="containsText" dxfId="6" priority="516" operator="containsText" text="Ts">
      <formula>NOT(ISERROR(SEARCH(("Ts"),(I39))))</formula>
    </cfRule>
  </conditionalFormatting>
  <conditionalFormatting sqref="I41:M41">
    <cfRule type="containsText" dxfId="7" priority="517" operator="containsText" text="D">
      <formula>NOT(ISERROR(SEARCH(("D"),(I41))))</formula>
    </cfRule>
  </conditionalFormatting>
  <conditionalFormatting sqref="I41:M41">
    <cfRule type="containsText" dxfId="8" priority="518" operator="containsText" text="3">
      <formula>NOT(ISERROR(SEARCH(("3"),(I41))))</formula>
    </cfRule>
  </conditionalFormatting>
  <conditionalFormatting sqref="I41:M41">
    <cfRule type="containsText" dxfId="9" priority="519" operator="containsText" text="2">
      <formula>NOT(ISERROR(SEARCH(("2"),(I41))))</formula>
    </cfRule>
  </conditionalFormatting>
  <conditionalFormatting sqref="I41:M41">
    <cfRule type="containsText" dxfId="10" priority="520" operator="containsText" text="1">
      <formula>NOT(ISERROR(SEARCH(("1"),(I41))))</formula>
    </cfRule>
  </conditionalFormatting>
  <conditionalFormatting sqref="I41:M41">
    <cfRule type="containsText" dxfId="10" priority="521" operator="containsText" text="L">
      <formula>NOT(ISERROR(SEARCH(("L"),(I41))))</formula>
    </cfRule>
  </conditionalFormatting>
  <conditionalFormatting sqref="I41:M42">
    <cfRule type="containsText" dxfId="12" priority="522" operator="containsText" text="ex">
      <formula>NOT(ISERROR(SEARCH(("ex"),(I41))))</formula>
    </cfRule>
  </conditionalFormatting>
  <conditionalFormatting sqref="I41:M42">
    <cfRule type="containsText" dxfId="6" priority="523" operator="containsText" text="curso">
      <formula>NOT(ISERROR(SEARCH(("curso"),(I41))))</formula>
    </cfRule>
  </conditionalFormatting>
  <conditionalFormatting sqref="I41:M42">
    <cfRule type="containsText" dxfId="13" priority="524" operator="containsText" text="indisp">
      <formula>NOT(ISERROR(SEARCH(("indisp"),(I41))))</formula>
    </cfRule>
  </conditionalFormatting>
  <conditionalFormatting sqref="I41:M42">
    <cfRule type="containsText" dxfId="4" priority="525" operator="containsText" text="B A J A">
      <formula>NOT(ISERROR(SEARCH(("B A J A"),(I41))))</formula>
    </cfRule>
  </conditionalFormatting>
  <conditionalFormatting sqref="I41:M42">
    <cfRule type="containsText" dxfId="4" priority="526" operator="containsText" text="BAJA">
      <formula>NOT(ISERROR(SEARCH(("BAJA"),(I41))))</formula>
    </cfRule>
  </conditionalFormatting>
  <conditionalFormatting sqref="I41:M42">
    <cfRule type="containsText" dxfId="4" priority="527" operator="containsText" text="V A C A C I O N E S">
      <formula>NOT(ISERROR(SEARCH(("V A C A C I O N E S"),(I41))))</formula>
    </cfRule>
  </conditionalFormatting>
  <conditionalFormatting sqref="I41:M42">
    <cfRule type="containsText" dxfId="4" priority="528" operator="containsText" text="Vacaciones">
      <formula>NOT(ISERROR(SEARCH(("Vacaciones"),(I41))))</formula>
    </cfRule>
  </conditionalFormatting>
  <conditionalFormatting sqref="I41:M42">
    <cfRule type="containsText" dxfId="6" priority="529" operator="containsText" text="JuB">
      <formula>NOT(ISERROR(SEARCH(("JuB"),(I41))))</formula>
    </cfRule>
  </conditionalFormatting>
  <conditionalFormatting sqref="I41:M42">
    <cfRule type="containsText" dxfId="6" priority="530" operator="containsText" text="JuC">
      <formula>NOT(ISERROR(SEARCH(("JuC"),(I41))))</formula>
    </cfRule>
  </conditionalFormatting>
  <conditionalFormatting sqref="I41:M42">
    <cfRule type="containsText" dxfId="5" priority="531" operator="containsText" text="AP">
      <formula>NOT(ISERROR(SEARCH(("AP"),(I41))))</formula>
    </cfRule>
  </conditionalFormatting>
  <conditionalFormatting sqref="I41:M42">
    <cfRule type="containsText" dxfId="6" priority="532" operator="containsText" text="Ts">
      <formula>NOT(ISERROR(SEARCH(("Ts"),(I41))))</formula>
    </cfRule>
  </conditionalFormatting>
  <conditionalFormatting sqref="I43:M43">
    <cfRule type="containsText" dxfId="8" priority="533" operator="containsText" text="3">
      <formula>NOT(ISERROR(SEARCH(("3"),(I43))))</formula>
    </cfRule>
  </conditionalFormatting>
  <conditionalFormatting sqref="I43:M43">
    <cfRule type="containsText" dxfId="9" priority="534" operator="containsText" text="2">
      <formula>NOT(ISERROR(SEARCH(("2"),(I43))))</formula>
    </cfRule>
  </conditionalFormatting>
  <conditionalFormatting sqref="I43:M43">
    <cfRule type="containsText" dxfId="10" priority="535" operator="containsText" text="1">
      <formula>NOT(ISERROR(SEARCH(("1"),(I43))))</formula>
    </cfRule>
  </conditionalFormatting>
  <conditionalFormatting sqref="I43:M43">
    <cfRule type="containsText" dxfId="10" priority="536" operator="containsText" text="L">
      <formula>NOT(ISERROR(SEARCH(("L"),(I43))))</formula>
    </cfRule>
  </conditionalFormatting>
  <conditionalFormatting sqref="I43:M44">
    <cfRule type="containsText" dxfId="12" priority="537" operator="containsText" text="ex">
      <formula>NOT(ISERROR(SEARCH(("ex"),(I43))))</formula>
    </cfRule>
  </conditionalFormatting>
  <conditionalFormatting sqref="I43:M44">
    <cfRule type="containsText" dxfId="6" priority="538" operator="containsText" text="curso">
      <formula>NOT(ISERROR(SEARCH(("curso"),(I43))))</formula>
    </cfRule>
  </conditionalFormatting>
  <conditionalFormatting sqref="I43:M44">
    <cfRule type="containsText" dxfId="13" priority="539" operator="containsText" text="indisp">
      <formula>NOT(ISERROR(SEARCH(("indisp"),(I43))))</formula>
    </cfRule>
  </conditionalFormatting>
  <conditionalFormatting sqref="I43:M44">
    <cfRule type="containsText" dxfId="4" priority="540" operator="containsText" text="B A J A">
      <formula>NOT(ISERROR(SEARCH(("B A J A"),(I43))))</formula>
    </cfRule>
  </conditionalFormatting>
  <conditionalFormatting sqref="I43:M44">
    <cfRule type="containsText" dxfId="4" priority="541" operator="containsText" text="BAJA">
      <formula>NOT(ISERROR(SEARCH(("BAJA"),(I43))))</formula>
    </cfRule>
  </conditionalFormatting>
  <conditionalFormatting sqref="I43:M44">
    <cfRule type="containsText" dxfId="4" priority="542" operator="containsText" text="V A C A C I O N E S">
      <formula>NOT(ISERROR(SEARCH(("V A C A C I O N E S"),(I43))))</formula>
    </cfRule>
  </conditionalFormatting>
  <conditionalFormatting sqref="I43:M44">
    <cfRule type="containsText" dxfId="4" priority="543" operator="containsText" text="Vacaciones">
      <formula>NOT(ISERROR(SEARCH(("Vacaciones"),(I43))))</formula>
    </cfRule>
  </conditionalFormatting>
  <conditionalFormatting sqref="I43:M44">
    <cfRule type="containsText" dxfId="6" priority="544" operator="containsText" text="JuB">
      <formula>NOT(ISERROR(SEARCH(("JuB"),(I43))))</formula>
    </cfRule>
  </conditionalFormatting>
  <conditionalFormatting sqref="I43:M44">
    <cfRule type="containsText" dxfId="6" priority="545" operator="containsText" text="JuC">
      <formula>NOT(ISERROR(SEARCH(("JuC"),(I43))))</formula>
    </cfRule>
  </conditionalFormatting>
  <conditionalFormatting sqref="I43:M44">
    <cfRule type="containsText" dxfId="5" priority="546" operator="containsText" text="AP">
      <formula>NOT(ISERROR(SEARCH(("AP"),(I43))))</formula>
    </cfRule>
  </conditionalFormatting>
  <conditionalFormatting sqref="I43:M44">
    <cfRule type="containsText" dxfId="6" priority="547" operator="containsText" text="Ts">
      <formula>NOT(ISERROR(SEARCH(("Ts"),(I43))))</formula>
    </cfRule>
  </conditionalFormatting>
  <conditionalFormatting sqref="J49">
    <cfRule type="cellIs" dxfId="3" priority="548" operator="greaterThanOrEqual">
      <formula>3</formula>
    </cfRule>
  </conditionalFormatting>
  <conditionalFormatting sqref="J49">
    <cfRule type="cellIs" dxfId="2" priority="549" operator="lessThan">
      <formula>3</formula>
    </cfRule>
  </conditionalFormatting>
  <conditionalFormatting sqref="I48:AM48 I49 J47:W47 L49:P49 S49:W49 Y47:AM47 Z49:AD49 AG49:AL49">
    <cfRule type="cellIs" dxfId="3" priority="550" operator="greaterThan">
      <formula>2</formula>
    </cfRule>
  </conditionalFormatting>
  <conditionalFormatting sqref="I48:AM48 I49 J47:W47 L49:P49 S49:W49 Y47:AM47 Z49:AD49 AG49:AL49">
    <cfRule type="cellIs" dxfId="2" priority="551" operator="lessThan">
      <formula>2</formula>
    </cfRule>
  </conditionalFormatting>
  <conditionalFormatting sqref="K49">
    <cfRule type="cellIs" dxfId="2" priority="552" operator="lessThan">
      <formula>4</formula>
    </cfRule>
  </conditionalFormatting>
  <conditionalFormatting sqref="K49">
    <cfRule type="cellIs" dxfId="3" priority="553" operator="greaterThanOrEqual">
      <formula>4</formula>
    </cfRule>
  </conditionalFormatting>
  <conditionalFormatting sqref="N6:AM6">
    <cfRule type="containsText" dxfId="12" priority="554" operator="containsText" text="ex">
      <formula>NOT(ISERROR(SEARCH(("ex"),(N6))))</formula>
    </cfRule>
  </conditionalFormatting>
  <conditionalFormatting sqref="N6:AM6">
    <cfRule type="containsText" dxfId="6" priority="555" operator="containsText" text="curso">
      <formula>NOT(ISERROR(SEARCH(("curso"),(N6))))</formula>
    </cfRule>
  </conditionalFormatting>
  <conditionalFormatting sqref="N6:AM6">
    <cfRule type="containsText" dxfId="13" priority="556" operator="containsText" text="indisp">
      <formula>NOT(ISERROR(SEARCH(("indisp"),(N6))))</formula>
    </cfRule>
  </conditionalFormatting>
  <conditionalFormatting sqref="N6:AM6">
    <cfRule type="containsText" dxfId="4" priority="557" operator="containsText" text="B A J A">
      <formula>NOT(ISERROR(SEARCH(("B A J A"),(N6))))</formula>
    </cfRule>
  </conditionalFormatting>
  <conditionalFormatting sqref="N6:AM6">
    <cfRule type="containsText" dxfId="4" priority="558" operator="containsText" text="BAJA">
      <formula>NOT(ISERROR(SEARCH(("BAJA"),(N6))))</formula>
    </cfRule>
  </conditionalFormatting>
  <conditionalFormatting sqref="N6:AM6">
    <cfRule type="containsText" dxfId="4" priority="559" operator="containsText" text="V A C A C I O N E S">
      <formula>NOT(ISERROR(SEARCH(("V A C A C I O N E S"),(N6))))</formula>
    </cfRule>
  </conditionalFormatting>
  <conditionalFormatting sqref="N6:AM6">
    <cfRule type="containsText" dxfId="4" priority="560" operator="containsText" text="Vacaciones">
      <formula>NOT(ISERROR(SEARCH(("Vacaciones"),(N6))))</formula>
    </cfRule>
  </conditionalFormatting>
  <conditionalFormatting sqref="N6:AM6">
    <cfRule type="containsText" dxfId="6" priority="561" operator="containsText" text="JuB">
      <formula>NOT(ISERROR(SEARCH(("JuB"),(N6))))</formula>
    </cfRule>
  </conditionalFormatting>
  <conditionalFormatting sqref="N6:AM6">
    <cfRule type="containsText" dxfId="6" priority="562" operator="containsText" text="JuC">
      <formula>NOT(ISERROR(SEARCH(("JuC"),(N6))))</formula>
    </cfRule>
  </conditionalFormatting>
  <conditionalFormatting sqref="N6:AM6">
    <cfRule type="containsText" dxfId="5" priority="563" operator="containsText" text="AP">
      <formula>NOT(ISERROR(SEARCH(("AP"),(N6))))</formula>
    </cfRule>
  </conditionalFormatting>
  <conditionalFormatting sqref="N6:AM6">
    <cfRule type="containsText" dxfId="6" priority="564" operator="containsText" text="Ts">
      <formula>NOT(ISERROR(SEARCH(("Ts"),(N6))))</formula>
    </cfRule>
  </conditionalFormatting>
  <conditionalFormatting sqref="N7 O7:AM12 N9:N12">
    <cfRule type="containsText" dxfId="12" priority="565" operator="containsText" text="ex">
      <formula>NOT(ISERROR(SEARCH(("ex"),(N7))))</formula>
    </cfRule>
  </conditionalFormatting>
  <conditionalFormatting sqref="N7 O7:AM12 N9:N12">
    <cfRule type="containsText" dxfId="6" priority="566" operator="containsText" text="curso">
      <formula>NOT(ISERROR(SEARCH(("curso"),(N7))))</formula>
    </cfRule>
  </conditionalFormatting>
  <conditionalFormatting sqref="N7 O7:AM12 N9:N12">
    <cfRule type="containsText" dxfId="13" priority="567" operator="containsText" text="indisp">
      <formula>NOT(ISERROR(SEARCH(("indisp"),(N7))))</formula>
    </cfRule>
  </conditionalFormatting>
  <conditionalFormatting sqref="N7 O7:AM12 N9:N12">
    <cfRule type="containsText" dxfId="4" priority="568" operator="containsText" text="B A J A">
      <formula>NOT(ISERROR(SEARCH(("B A J A"),(N7))))</formula>
    </cfRule>
  </conditionalFormatting>
  <conditionalFormatting sqref="N7 O7:AM12 N9:N12">
    <cfRule type="containsText" dxfId="4" priority="569" operator="containsText" text="BAJA">
      <formula>NOT(ISERROR(SEARCH(("BAJA"),(N7))))</formula>
    </cfRule>
  </conditionalFormatting>
  <conditionalFormatting sqref="N7 O7:AM12 N9:N12">
    <cfRule type="containsText" dxfId="4" priority="570" operator="containsText" text="V A C A C I O N E S">
      <formula>NOT(ISERROR(SEARCH(("V A C A C I O N E S"),(N7))))</formula>
    </cfRule>
  </conditionalFormatting>
  <conditionalFormatting sqref="N7 O7:AM12 N9:N12">
    <cfRule type="containsText" dxfId="4" priority="571" operator="containsText" text="Vacaciones">
      <formula>NOT(ISERROR(SEARCH(("Vacaciones"),(N7))))</formula>
    </cfRule>
  </conditionalFormatting>
  <conditionalFormatting sqref="N7 O7:AM12 N9:N12">
    <cfRule type="containsText" dxfId="6" priority="572" operator="containsText" text="JuB">
      <formula>NOT(ISERROR(SEARCH(("JuB"),(N7))))</formula>
    </cfRule>
  </conditionalFormatting>
  <conditionalFormatting sqref="N7 O7:AM12 N9:N12">
    <cfRule type="containsText" dxfId="6" priority="573" operator="containsText" text="JuC">
      <formula>NOT(ISERROR(SEARCH(("JuC"),(N7))))</formula>
    </cfRule>
  </conditionalFormatting>
  <conditionalFormatting sqref="N7 O7:AM12 N9:N12">
    <cfRule type="containsText" dxfId="5" priority="574" operator="containsText" text="AP">
      <formula>NOT(ISERROR(SEARCH(("AP"),(N7))))</formula>
    </cfRule>
  </conditionalFormatting>
  <conditionalFormatting sqref="N7 O7:AM12 N9:N12">
    <cfRule type="containsText" dxfId="6" priority="575" operator="containsText" text="Ts">
      <formula>NOT(ISERROR(SEARCH(("Ts"),(N7))))</formula>
    </cfRule>
  </conditionalFormatting>
  <conditionalFormatting sqref="N9:AM9">
    <cfRule type="containsText" dxfId="12" priority="576" operator="containsText" text="ex">
      <formula>NOT(ISERROR(SEARCH(("ex"),(N9))))</formula>
    </cfRule>
  </conditionalFormatting>
  <conditionalFormatting sqref="N9:AM9">
    <cfRule type="containsText" dxfId="6" priority="577" operator="containsText" text="curso">
      <formula>NOT(ISERROR(SEARCH(("curso"),(N9))))</formula>
    </cfRule>
  </conditionalFormatting>
  <conditionalFormatting sqref="N9:AM9">
    <cfRule type="containsText" dxfId="13" priority="578" operator="containsText" text="indisp">
      <formula>NOT(ISERROR(SEARCH(("indisp"),(N9))))</formula>
    </cfRule>
  </conditionalFormatting>
  <conditionalFormatting sqref="N9:AM9">
    <cfRule type="containsText" dxfId="4" priority="579" operator="containsText" text="B A J A">
      <formula>NOT(ISERROR(SEARCH(("B A J A"),(N9))))</formula>
    </cfRule>
  </conditionalFormatting>
  <conditionalFormatting sqref="N9:AM9">
    <cfRule type="containsText" dxfId="4" priority="580" operator="containsText" text="BAJA">
      <formula>NOT(ISERROR(SEARCH(("BAJA"),(N9))))</formula>
    </cfRule>
  </conditionalFormatting>
  <conditionalFormatting sqref="N9:AM9">
    <cfRule type="containsText" dxfId="4" priority="581" operator="containsText" text="V A C A C I O N E S">
      <formula>NOT(ISERROR(SEARCH(("V A C A C I O N E S"),(N9))))</formula>
    </cfRule>
  </conditionalFormatting>
  <conditionalFormatting sqref="N9:AM9">
    <cfRule type="containsText" dxfId="4" priority="582" operator="containsText" text="Vacaciones">
      <formula>NOT(ISERROR(SEARCH(("Vacaciones"),(N9))))</formula>
    </cfRule>
  </conditionalFormatting>
  <conditionalFormatting sqref="N9:AM9">
    <cfRule type="containsText" dxfId="6" priority="583" operator="containsText" text="JuB">
      <formula>NOT(ISERROR(SEARCH(("JuB"),(N9))))</formula>
    </cfRule>
  </conditionalFormatting>
  <conditionalFormatting sqref="N9:AM9">
    <cfRule type="containsText" dxfId="6" priority="584" operator="containsText" text="JuC">
      <formula>NOT(ISERROR(SEARCH(("JuC"),(N9))))</formula>
    </cfRule>
  </conditionalFormatting>
  <conditionalFormatting sqref="N9:AM9">
    <cfRule type="containsText" dxfId="5" priority="585" operator="containsText" text="AP">
      <formula>NOT(ISERROR(SEARCH(("AP"),(N9))))</formula>
    </cfRule>
  </conditionalFormatting>
  <conditionalFormatting sqref="N9:AM9">
    <cfRule type="containsText" dxfId="6" priority="586" operator="containsText" text="Ts">
      <formula>NOT(ISERROR(SEARCH(("Ts"),(N9))))</formula>
    </cfRule>
  </conditionalFormatting>
  <conditionalFormatting sqref="N11:AM11">
    <cfRule type="containsText" dxfId="12" priority="587" operator="containsText" text="ex">
      <formula>NOT(ISERROR(SEARCH(("ex"),(N11))))</formula>
    </cfRule>
  </conditionalFormatting>
  <conditionalFormatting sqref="N11:AM11">
    <cfRule type="containsText" dxfId="6" priority="588" operator="containsText" text="curso">
      <formula>NOT(ISERROR(SEARCH(("curso"),(N11))))</formula>
    </cfRule>
  </conditionalFormatting>
  <conditionalFormatting sqref="N11:AM11">
    <cfRule type="containsText" dxfId="13" priority="589" operator="containsText" text="indisp">
      <formula>NOT(ISERROR(SEARCH(("indisp"),(N11))))</formula>
    </cfRule>
  </conditionalFormatting>
  <conditionalFormatting sqref="N11:AM11">
    <cfRule type="containsText" dxfId="4" priority="590" operator="containsText" text="B A J A">
      <formula>NOT(ISERROR(SEARCH(("B A J A"),(N11))))</formula>
    </cfRule>
  </conditionalFormatting>
  <conditionalFormatting sqref="N11:AM11">
    <cfRule type="containsText" dxfId="4" priority="591" operator="containsText" text="BAJA">
      <formula>NOT(ISERROR(SEARCH(("BAJA"),(N11))))</formula>
    </cfRule>
  </conditionalFormatting>
  <conditionalFormatting sqref="N11:AM11">
    <cfRule type="containsText" dxfId="4" priority="592" operator="containsText" text="V A C A C I O N E S">
      <formula>NOT(ISERROR(SEARCH(("V A C A C I O N E S"),(N11))))</formula>
    </cfRule>
  </conditionalFormatting>
  <conditionalFormatting sqref="N11:AM11">
    <cfRule type="containsText" dxfId="4" priority="593" operator="containsText" text="Vacaciones">
      <formula>NOT(ISERROR(SEARCH(("Vacaciones"),(N11))))</formula>
    </cfRule>
  </conditionalFormatting>
  <conditionalFormatting sqref="N11:AM11">
    <cfRule type="containsText" dxfId="6" priority="594" operator="containsText" text="JuB">
      <formula>NOT(ISERROR(SEARCH(("JuB"),(N11))))</formula>
    </cfRule>
  </conditionalFormatting>
  <conditionalFormatting sqref="N11:AM11">
    <cfRule type="containsText" dxfId="6" priority="595" operator="containsText" text="JuC">
      <formula>NOT(ISERROR(SEARCH(("JuC"),(N11))))</formula>
    </cfRule>
  </conditionalFormatting>
  <conditionalFormatting sqref="N11:AM11">
    <cfRule type="containsText" dxfId="5" priority="596" operator="containsText" text="AP">
      <formula>NOT(ISERROR(SEARCH(("AP"),(N11))))</formula>
    </cfRule>
  </conditionalFormatting>
  <conditionalFormatting sqref="N11:AM11">
    <cfRule type="containsText" dxfId="6" priority="597" operator="containsText" text="Ts">
      <formula>NOT(ISERROR(SEARCH(("Ts"),(N11))))</formula>
    </cfRule>
  </conditionalFormatting>
  <conditionalFormatting sqref="N11:AM11">
    <cfRule type="containsText" dxfId="7" priority="598" operator="containsText" text="D">
      <formula>NOT(ISERROR(SEARCH(("D"),(N11))))</formula>
    </cfRule>
  </conditionalFormatting>
  <conditionalFormatting sqref="N11:AM11">
    <cfRule type="containsText" dxfId="8" priority="599" operator="containsText" text="3">
      <formula>NOT(ISERROR(SEARCH(("3"),(N11))))</formula>
    </cfRule>
  </conditionalFormatting>
  <conditionalFormatting sqref="N11:AM11">
    <cfRule type="containsText" dxfId="9" priority="600" operator="containsText" text="2">
      <formula>NOT(ISERROR(SEARCH(("2"),(N11))))</formula>
    </cfRule>
  </conditionalFormatting>
  <conditionalFormatting sqref="N11:AM11">
    <cfRule type="containsText" dxfId="10" priority="601" operator="containsText" text="1">
      <formula>NOT(ISERROR(SEARCH(("1"),(N11))))</formula>
    </cfRule>
  </conditionalFormatting>
  <conditionalFormatting sqref="N11:AM11">
    <cfRule type="containsText" dxfId="10" priority="602" operator="containsText" text="L">
      <formula>NOT(ISERROR(SEARCH(("L"),(N11))))</formula>
    </cfRule>
  </conditionalFormatting>
  <conditionalFormatting sqref="N13:W13 AA13:AM13">
    <cfRule type="containsText" dxfId="12" priority="603" operator="containsText" text="ex">
      <formula>NOT(ISERROR(SEARCH(("ex"),(N13))))</formula>
    </cfRule>
  </conditionalFormatting>
  <conditionalFormatting sqref="N13:W13 AA13:AM13">
    <cfRule type="containsText" dxfId="6" priority="604" operator="containsText" text="curso">
      <formula>NOT(ISERROR(SEARCH(("curso"),(N13))))</formula>
    </cfRule>
  </conditionalFormatting>
  <conditionalFormatting sqref="N13:W13 AA13:AM13">
    <cfRule type="containsText" dxfId="13" priority="605" operator="containsText" text="indisp">
      <formula>NOT(ISERROR(SEARCH(("indisp"),(N13))))</formula>
    </cfRule>
  </conditionalFormatting>
  <conditionalFormatting sqref="N13:W13 AA13:AM13">
    <cfRule type="containsText" dxfId="4" priority="606" operator="containsText" text="B A J A">
      <formula>NOT(ISERROR(SEARCH(("B A J A"),(N13))))</formula>
    </cfRule>
  </conditionalFormatting>
  <conditionalFormatting sqref="N13:W13 AA13:AM13">
    <cfRule type="containsText" dxfId="4" priority="607" operator="containsText" text="BAJA">
      <formula>NOT(ISERROR(SEARCH(("BAJA"),(N13))))</formula>
    </cfRule>
  </conditionalFormatting>
  <conditionalFormatting sqref="N13:W13 AA13:AM13">
    <cfRule type="containsText" dxfId="4" priority="608" operator="containsText" text="V A C A C I O N E S">
      <formula>NOT(ISERROR(SEARCH(("V A C A C I O N E S"),(N13))))</formula>
    </cfRule>
  </conditionalFormatting>
  <conditionalFormatting sqref="N13:W13 AA13:AM13">
    <cfRule type="containsText" dxfId="4" priority="609" operator="containsText" text="Vacaciones">
      <formula>NOT(ISERROR(SEARCH(("Vacaciones"),(N13))))</formula>
    </cfRule>
  </conditionalFormatting>
  <conditionalFormatting sqref="N13:W13 AA13:AM13">
    <cfRule type="containsText" dxfId="6" priority="610" operator="containsText" text="JuB">
      <formula>NOT(ISERROR(SEARCH(("JuB"),(N13))))</formula>
    </cfRule>
  </conditionalFormatting>
  <conditionalFormatting sqref="N13:W13 AA13:AM13">
    <cfRule type="containsText" dxfId="6" priority="611" operator="containsText" text="JuC">
      <formula>NOT(ISERROR(SEARCH(("JuC"),(N13))))</formula>
    </cfRule>
  </conditionalFormatting>
  <conditionalFormatting sqref="N13:W13 AA13:AM13">
    <cfRule type="containsText" dxfId="5" priority="612" operator="containsText" text="AP">
      <formula>NOT(ISERROR(SEARCH(("AP"),(N13))))</formula>
    </cfRule>
  </conditionalFormatting>
  <conditionalFormatting sqref="N13:W13 AA13:AM13">
    <cfRule type="containsText" dxfId="6" priority="613" operator="containsText" text="Ts">
      <formula>NOT(ISERROR(SEARCH(("Ts"),(N13))))</formula>
    </cfRule>
  </conditionalFormatting>
  <conditionalFormatting sqref="N13:W14 AA13:AM14 X14:Z14">
    <cfRule type="containsText" dxfId="12" priority="614" operator="containsText" text="ex">
      <formula>NOT(ISERROR(SEARCH(("ex"),(N13))))</formula>
    </cfRule>
  </conditionalFormatting>
  <conditionalFormatting sqref="N13:W14 AA13:AM14 X14:Z14">
    <cfRule type="containsText" dxfId="6" priority="615" operator="containsText" text="curso">
      <formula>NOT(ISERROR(SEARCH(("curso"),(N13))))</formula>
    </cfRule>
  </conditionalFormatting>
  <conditionalFormatting sqref="N13:W14 AA13:AM14 X14:Z14">
    <cfRule type="containsText" dxfId="13" priority="616" operator="containsText" text="indisp">
      <formula>NOT(ISERROR(SEARCH(("indisp"),(N13))))</formula>
    </cfRule>
  </conditionalFormatting>
  <conditionalFormatting sqref="N13:W14 AA13:AM14 X14:Z14">
    <cfRule type="containsText" dxfId="4" priority="617" operator="containsText" text="B A J A">
      <formula>NOT(ISERROR(SEARCH(("B A J A"),(N13))))</formula>
    </cfRule>
  </conditionalFormatting>
  <conditionalFormatting sqref="N13:W14 AA13:AM14 X14:Z14">
    <cfRule type="containsText" dxfId="4" priority="618" operator="containsText" text="BAJA">
      <formula>NOT(ISERROR(SEARCH(("BAJA"),(N13))))</formula>
    </cfRule>
  </conditionalFormatting>
  <conditionalFormatting sqref="N13:W14 AA13:AM14 X14:Z14">
    <cfRule type="containsText" dxfId="4" priority="619" operator="containsText" text="V A C A C I O N E S">
      <formula>NOT(ISERROR(SEARCH(("V A C A C I O N E S"),(N13))))</formula>
    </cfRule>
  </conditionalFormatting>
  <conditionalFormatting sqref="N13:W14 AA13:AM14 X14:Z14">
    <cfRule type="containsText" dxfId="4" priority="620" operator="containsText" text="Vacaciones">
      <formula>NOT(ISERROR(SEARCH(("Vacaciones"),(N13))))</formula>
    </cfRule>
  </conditionalFormatting>
  <conditionalFormatting sqref="N13:W14 AA13:AM14 X14:Z14">
    <cfRule type="containsText" dxfId="6" priority="621" operator="containsText" text="JuB">
      <formula>NOT(ISERROR(SEARCH(("JuB"),(N13))))</formula>
    </cfRule>
  </conditionalFormatting>
  <conditionalFormatting sqref="N13:W14 AA13:AM14 X14:Z14">
    <cfRule type="containsText" dxfId="6" priority="622" operator="containsText" text="JuC">
      <formula>NOT(ISERROR(SEARCH(("JuC"),(N13))))</formula>
    </cfRule>
  </conditionalFormatting>
  <conditionalFormatting sqref="N13:W14 AA13:AM14 X14:Z14">
    <cfRule type="containsText" dxfId="5" priority="623" operator="containsText" text="AP">
      <formula>NOT(ISERROR(SEARCH(("AP"),(N13))))</formula>
    </cfRule>
  </conditionalFormatting>
  <conditionalFormatting sqref="N13:W14 AA13:AM14 X14:Z14">
    <cfRule type="containsText" dxfId="6" priority="624" operator="containsText" text="Ts">
      <formula>NOT(ISERROR(SEARCH(("Ts"),(N13))))</formula>
    </cfRule>
  </conditionalFormatting>
  <conditionalFormatting sqref="N15:AM15">
    <cfRule type="containsText" dxfId="12" priority="625" operator="containsText" text="ex">
      <formula>NOT(ISERROR(SEARCH(("ex"),(N15))))</formula>
    </cfRule>
  </conditionalFormatting>
  <conditionalFormatting sqref="N15:AM15">
    <cfRule type="containsText" dxfId="6" priority="626" operator="containsText" text="curso">
      <formula>NOT(ISERROR(SEARCH(("curso"),(N15))))</formula>
    </cfRule>
  </conditionalFormatting>
  <conditionalFormatting sqref="N15:AM15">
    <cfRule type="containsText" dxfId="13" priority="627" operator="containsText" text="indisp">
      <formula>NOT(ISERROR(SEARCH(("indisp"),(N15))))</formula>
    </cfRule>
  </conditionalFormatting>
  <conditionalFormatting sqref="N15:AM15">
    <cfRule type="containsText" dxfId="4" priority="628" operator="containsText" text="B A J A">
      <formula>NOT(ISERROR(SEARCH(("B A J A"),(N15))))</formula>
    </cfRule>
  </conditionalFormatting>
  <conditionalFormatting sqref="N15:AM15">
    <cfRule type="containsText" dxfId="4" priority="629" operator="containsText" text="BAJA">
      <formula>NOT(ISERROR(SEARCH(("BAJA"),(N15))))</formula>
    </cfRule>
  </conditionalFormatting>
  <conditionalFormatting sqref="N15:AM15">
    <cfRule type="containsText" dxfId="4" priority="630" operator="containsText" text="V A C A C I O N E S">
      <formula>NOT(ISERROR(SEARCH(("V A C A C I O N E S"),(N15))))</formula>
    </cfRule>
  </conditionalFormatting>
  <conditionalFormatting sqref="N15:AM15">
    <cfRule type="containsText" dxfId="4" priority="631" operator="containsText" text="Vacaciones">
      <formula>NOT(ISERROR(SEARCH(("Vacaciones"),(N15))))</formula>
    </cfRule>
  </conditionalFormatting>
  <conditionalFormatting sqref="N15:AM15">
    <cfRule type="containsText" dxfId="6" priority="632" operator="containsText" text="JuB">
      <formula>NOT(ISERROR(SEARCH(("JuB"),(N15))))</formula>
    </cfRule>
  </conditionalFormatting>
  <conditionalFormatting sqref="N15:AM15">
    <cfRule type="containsText" dxfId="6" priority="633" operator="containsText" text="JuC">
      <formula>NOT(ISERROR(SEARCH(("JuC"),(N15))))</formula>
    </cfRule>
  </conditionalFormatting>
  <conditionalFormatting sqref="N15:AM15">
    <cfRule type="containsText" dxfId="5" priority="634" operator="containsText" text="AP">
      <formula>NOT(ISERROR(SEARCH(("AP"),(N15))))</formula>
    </cfRule>
  </conditionalFormatting>
  <conditionalFormatting sqref="N15:AM15">
    <cfRule type="containsText" dxfId="6" priority="635" operator="containsText" text="Ts">
      <formula>NOT(ISERROR(SEARCH(("Ts"),(N15))))</formula>
    </cfRule>
  </conditionalFormatting>
  <conditionalFormatting sqref="N15:AM16">
    <cfRule type="containsText" dxfId="12" priority="636" operator="containsText" text="ex">
      <formula>NOT(ISERROR(SEARCH(("ex"),(N15))))</formula>
    </cfRule>
  </conditionalFormatting>
  <conditionalFormatting sqref="N15:AM16">
    <cfRule type="containsText" dxfId="6" priority="637" operator="containsText" text="curso">
      <formula>NOT(ISERROR(SEARCH(("curso"),(N15))))</formula>
    </cfRule>
  </conditionalFormatting>
  <conditionalFormatting sqref="N15:AM16">
    <cfRule type="containsText" dxfId="13" priority="638" operator="containsText" text="indisp">
      <formula>NOT(ISERROR(SEARCH(("indisp"),(N15))))</formula>
    </cfRule>
  </conditionalFormatting>
  <conditionalFormatting sqref="N15:AM16">
    <cfRule type="containsText" dxfId="4" priority="639" operator="containsText" text="B A J A">
      <formula>NOT(ISERROR(SEARCH(("B A J A"),(N15))))</formula>
    </cfRule>
  </conditionalFormatting>
  <conditionalFormatting sqref="N15:AM16">
    <cfRule type="containsText" dxfId="4" priority="640" operator="containsText" text="BAJA">
      <formula>NOT(ISERROR(SEARCH(("BAJA"),(N15))))</formula>
    </cfRule>
  </conditionalFormatting>
  <conditionalFormatting sqref="N15:AM16">
    <cfRule type="containsText" dxfId="4" priority="641" operator="containsText" text="V A C A C I O N E S">
      <formula>NOT(ISERROR(SEARCH(("V A C A C I O N E S"),(N15))))</formula>
    </cfRule>
  </conditionalFormatting>
  <conditionalFormatting sqref="N15:AM16">
    <cfRule type="containsText" dxfId="4" priority="642" operator="containsText" text="Vacaciones">
      <formula>NOT(ISERROR(SEARCH(("Vacaciones"),(N15))))</formula>
    </cfRule>
  </conditionalFormatting>
  <conditionalFormatting sqref="N15:AM16">
    <cfRule type="containsText" dxfId="6" priority="643" operator="containsText" text="JuB">
      <formula>NOT(ISERROR(SEARCH(("JuB"),(N15))))</formula>
    </cfRule>
  </conditionalFormatting>
  <conditionalFormatting sqref="N15:AM16">
    <cfRule type="containsText" dxfId="6" priority="644" operator="containsText" text="JuC">
      <formula>NOT(ISERROR(SEARCH(("JuC"),(N15))))</formula>
    </cfRule>
  </conditionalFormatting>
  <conditionalFormatting sqref="N15:AM16">
    <cfRule type="containsText" dxfId="5" priority="645" operator="containsText" text="AP">
      <formula>NOT(ISERROR(SEARCH(("AP"),(N15))))</formula>
    </cfRule>
  </conditionalFormatting>
  <conditionalFormatting sqref="N15:AM16">
    <cfRule type="containsText" dxfId="6" priority="646" operator="containsText" text="Ts">
      <formula>NOT(ISERROR(SEARCH(("Ts"),(N15))))</formula>
    </cfRule>
  </conditionalFormatting>
  <conditionalFormatting sqref="N17:AB17 AD17:AK17">
    <cfRule type="containsText" dxfId="12" priority="647" operator="containsText" text="ex">
      <formula>NOT(ISERROR(SEARCH(("ex"),(N17))))</formula>
    </cfRule>
  </conditionalFormatting>
  <conditionalFormatting sqref="N17:AB17 AD17:AK17">
    <cfRule type="containsText" dxfId="6" priority="648" operator="containsText" text="curso">
      <formula>NOT(ISERROR(SEARCH(("curso"),(N17))))</formula>
    </cfRule>
  </conditionalFormatting>
  <conditionalFormatting sqref="N17:AB17 AD17:AK17">
    <cfRule type="containsText" dxfId="13" priority="649" operator="containsText" text="indisp">
      <formula>NOT(ISERROR(SEARCH(("indisp"),(N17))))</formula>
    </cfRule>
  </conditionalFormatting>
  <conditionalFormatting sqref="N17:AB17 AD17:AK17">
    <cfRule type="containsText" dxfId="4" priority="650" operator="containsText" text="B A J A">
      <formula>NOT(ISERROR(SEARCH(("B A J A"),(N17))))</formula>
    </cfRule>
  </conditionalFormatting>
  <conditionalFormatting sqref="N17:AB17 AD17:AK17">
    <cfRule type="containsText" dxfId="4" priority="651" operator="containsText" text="BAJA">
      <formula>NOT(ISERROR(SEARCH(("BAJA"),(N17))))</formula>
    </cfRule>
  </conditionalFormatting>
  <conditionalFormatting sqref="N17:AB17 AD17:AK17">
    <cfRule type="containsText" dxfId="4" priority="652" operator="containsText" text="V A C A C I O N E S">
      <formula>NOT(ISERROR(SEARCH(("V A C A C I O N E S"),(N17))))</formula>
    </cfRule>
  </conditionalFormatting>
  <conditionalFormatting sqref="N17:AB17 AD17:AK17">
    <cfRule type="containsText" dxfId="4" priority="653" operator="containsText" text="Vacaciones">
      <formula>NOT(ISERROR(SEARCH(("Vacaciones"),(N17))))</formula>
    </cfRule>
  </conditionalFormatting>
  <conditionalFormatting sqref="N17:AB17 AD17:AK17">
    <cfRule type="containsText" dxfId="6" priority="654" operator="containsText" text="JuB">
      <formula>NOT(ISERROR(SEARCH(("JuB"),(N17))))</formula>
    </cfRule>
  </conditionalFormatting>
  <conditionalFormatting sqref="N17:AB17 AD17:AK17">
    <cfRule type="containsText" dxfId="6" priority="655" operator="containsText" text="JuC">
      <formula>NOT(ISERROR(SEARCH(("JuC"),(N17))))</formula>
    </cfRule>
  </conditionalFormatting>
  <conditionalFormatting sqref="N17:AB17 AD17:AK17">
    <cfRule type="containsText" dxfId="5" priority="656" operator="containsText" text="AP">
      <formula>NOT(ISERROR(SEARCH(("AP"),(N17))))</formula>
    </cfRule>
  </conditionalFormatting>
  <conditionalFormatting sqref="N17:AB17 AD17:AK17">
    <cfRule type="containsText" dxfId="6" priority="657" operator="containsText" text="Ts">
      <formula>NOT(ISERROR(SEARCH(("Ts"),(N17))))</formula>
    </cfRule>
  </conditionalFormatting>
  <conditionalFormatting sqref="N17:AB18 AD17:AK18 AC18 AL18:AM18">
    <cfRule type="containsText" dxfId="12" priority="658" operator="containsText" text="ex">
      <formula>NOT(ISERROR(SEARCH(("ex"),(N17))))</formula>
    </cfRule>
  </conditionalFormatting>
  <conditionalFormatting sqref="N17:AB18 AD17:AK18 AC18 AL18:AM18">
    <cfRule type="containsText" dxfId="6" priority="659" operator="containsText" text="curso">
      <formula>NOT(ISERROR(SEARCH(("curso"),(N17))))</formula>
    </cfRule>
  </conditionalFormatting>
  <conditionalFormatting sqref="N17:AB18 AD17:AK18 AC18 AL18:AM18">
    <cfRule type="containsText" dxfId="13" priority="660" operator="containsText" text="indisp">
      <formula>NOT(ISERROR(SEARCH(("indisp"),(N17))))</formula>
    </cfRule>
  </conditionalFormatting>
  <conditionalFormatting sqref="N17:AB18 AD17:AK18 AC18 AL18:AM18">
    <cfRule type="containsText" dxfId="4" priority="661" operator="containsText" text="B A J A">
      <formula>NOT(ISERROR(SEARCH(("B A J A"),(N17))))</formula>
    </cfRule>
  </conditionalFormatting>
  <conditionalFormatting sqref="N17:AB18 AD17:AK18 AC18 AL18:AM18">
    <cfRule type="containsText" dxfId="4" priority="662" operator="containsText" text="BAJA">
      <formula>NOT(ISERROR(SEARCH(("BAJA"),(N17))))</formula>
    </cfRule>
  </conditionalFormatting>
  <conditionalFormatting sqref="N17:AB18 AD17:AK18 AC18 AL18:AM18">
    <cfRule type="containsText" dxfId="4" priority="663" operator="containsText" text="V A C A C I O N E S">
      <formula>NOT(ISERROR(SEARCH(("V A C A C I O N E S"),(N17))))</formula>
    </cfRule>
  </conditionalFormatting>
  <conditionalFormatting sqref="N17:AB18 AD17:AK18 AC18 AL18:AM18">
    <cfRule type="containsText" dxfId="4" priority="664" operator="containsText" text="Vacaciones">
      <formula>NOT(ISERROR(SEARCH(("Vacaciones"),(N17))))</formula>
    </cfRule>
  </conditionalFormatting>
  <conditionalFormatting sqref="N17:AB18 AD17:AK18 AC18 AL18:AM18">
    <cfRule type="containsText" dxfId="6" priority="665" operator="containsText" text="JuB">
      <formula>NOT(ISERROR(SEARCH(("JuB"),(N17))))</formula>
    </cfRule>
  </conditionalFormatting>
  <conditionalFormatting sqref="N17:AB18 AD17:AK18 AC18 AL18:AM18">
    <cfRule type="containsText" dxfId="6" priority="666" operator="containsText" text="JuC">
      <formula>NOT(ISERROR(SEARCH(("JuC"),(N17))))</formula>
    </cfRule>
  </conditionalFormatting>
  <conditionalFormatting sqref="N17:AB18 AD17:AK18 AC18 AL18:AM18">
    <cfRule type="containsText" dxfId="5" priority="667" operator="containsText" text="AP">
      <formula>NOT(ISERROR(SEARCH(("AP"),(N17))))</formula>
    </cfRule>
  </conditionalFormatting>
  <conditionalFormatting sqref="N17:AB18 AD17:AK18 AC18 AL18:AM18">
    <cfRule type="containsText" dxfId="6" priority="668" operator="containsText" text="Ts">
      <formula>NOT(ISERROR(SEARCH(("Ts"),(N17))))</formula>
    </cfRule>
  </conditionalFormatting>
  <conditionalFormatting sqref="N19:AM19">
    <cfRule type="containsText" dxfId="12" priority="669" operator="containsText" text="ex">
      <formula>NOT(ISERROR(SEARCH(("ex"),(N19))))</formula>
    </cfRule>
  </conditionalFormatting>
  <conditionalFormatting sqref="N19:AM19">
    <cfRule type="containsText" dxfId="6" priority="670" operator="containsText" text="curso">
      <formula>NOT(ISERROR(SEARCH(("curso"),(N19))))</formula>
    </cfRule>
  </conditionalFormatting>
  <conditionalFormatting sqref="N19:AM19">
    <cfRule type="containsText" dxfId="13" priority="671" operator="containsText" text="indisp">
      <formula>NOT(ISERROR(SEARCH(("indisp"),(N19))))</formula>
    </cfRule>
  </conditionalFormatting>
  <conditionalFormatting sqref="N19:AM19">
    <cfRule type="containsText" dxfId="4" priority="672" operator="containsText" text="B A J A">
      <formula>NOT(ISERROR(SEARCH(("B A J A"),(N19))))</formula>
    </cfRule>
  </conditionalFormatting>
  <conditionalFormatting sqref="N19:AM19">
    <cfRule type="containsText" dxfId="4" priority="673" operator="containsText" text="BAJA">
      <formula>NOT(ISERROR(SEARCH(("BAJA"),(N19))))</formula>
    </cfRule>
  </conditionalFormatting>
  <conditionalFormatting sqref="N19:AM19">
    <cfRule type="containsText" dxfId="4" priority="674" operator="containsText" text="V A C A C I O N E S">
      <formula>NOT(ISERROR(SEARCH(("V A C A C I O N E S"),(N19))))</formula>
    </cfRule>
  </conditionalFormatting>
  <conditionalFormatting sqref="N19:AM19">
    <cfRule type="containsText" dxfId="4" priority="675" operator="containsText" text="Vacaciones">
      <formula>NOT(ISERROR(SEARCH(("Vacaciones"),(N19))))</formula>
    </cfRule>
  </conditionalFormatting>
  <conditionalFormatting sqref="N19:AM19">
    <cfRule type="containsText" dxfId="6" priority="676" operator="containsText" text="JuB">
      <formula>NOT(ISERROR(SEARCH(("JuB"),(N19))))</formula>
    </cfRule>
  </conditionalFormatting>
  <conditionalFormatting sqref="N19:AM19">
    <cfRule type="containsText" dxfId="6" priority="677" operator="containsText" text="JuC">
      <formula>NOT(ISERROR(SEARCH(("JuC"),(N19))))</formula>
    </cfRule>
  </conditionalFormatting>
  <conditionalFormatting sqref="N19:AM19">
    <cfRule type="containsText" dxfId="5" priority="678" operator="containsText" text="AP">
      <formula>NOT(ISERROR(SEARCH(("AP"),(N19))))</formula>
    </cfRule>
  </conditionalFormatting>
  <conditionalFormatting sqref="N19:AM19">
    <cfRule type="containsText" dxfId="6" priority="679" operator="containsText" text="Ts">
      <formula>NOT(ISERROR(SEARCH(("Ts"),(N19))))</formula>
    </cfRule>
  </conditionalFormatting>
  <conditionalFormatting sqref="N19:AM20">
    <cfRule type="containsText" dxfId="12" priority="680" operator="containsText" text="ex">
      <formula>NOT(ISERROR(SEARCH(("ex"),(N19))))</formula>
    </cfRule>
  </conditionalFormatting>
  <conditionalFormatting sqref="N19:AM20">
    <cfRule type="containsText" dxfId="6" priority="681" operator="containsText" text="curso">
      <formula>NOT(ISERROR(SEARCH(("curso"),(N19))))</formula>
    </cfRule>
  </conditionalFormatting>
  <conditionalFormatting sqref="N19:AM20">
    <cfRule type="containsText" dxfId="13" priority="682" operator="containsText" text="indisp">
      <formula>NOT(ISERROR(SEARCH(("indisp"),(N19))))</formula>
    </cfRule>
  </conditionalFormatting>
  <conditionalFormatting sqref="N19:AM20">
    <cfRule type="containsText" dxfId="4" priority="683" operator="containsText" text="B A J A">
      <formula>NOT(ISERROR(SEARCH(("B A J A"),(N19))))</formula>
    </cfRule>
  </conditionalFormatting>
  <conditionalFormatting sqref="N19:AM20">
    <cfRule type="containsText" dxfId="4" priority="684" operator="containsText" text="BAJA">
      <formula>NOT(ISERROR(SEARCH(("BAJA"),(N19))))</formula>
    </cfRule>
  </conditionalFormatting>
  <conditionalFormatting sqref="N19:AM20">
    <cfRule type="containsText" dxfId="4" priority="685" operator="containsText" text="V A C A C I O N E S">
      <formula>NOT(ISERROR(SEARCH(("V A C A C I O N E S"),(N19))))</formula>
    </cfRule>
  </conditionalFormatting>
  <conditionalFormatting sqref="N19:AM20">
    <cfRule type="containsText" dxfId="4" priority="686" operator="containsText" text="Vacaciones">
      <formula>NOT(ISERROR(SEARCH(("Vacaciones"),(N19))))</formula>
    </cfRule>
  </conditionalFormatting>
  <conditionalFormatting sqref="N19:AM20">
    <cfRule type="containsText" dxfId="6" priority="687" operator="containsText" text="JuB">
      <formula>NOT(ISERROR(SEARCH(("JuB"),(N19))))</formula>
    </cfRule>
  </conditionalFormatting>
  <conditionalFormatting sqref="N19:AM20">
    <cfRule type="containsText" dxfId="6" priority="688" operator="containsText" text="JuC">
      <formula>NOT(ISERROR(SEARCH(("JuC"),(N19))))</formula>
    </cfRule>
  </conditionalFormatting>
  <conditionalFormatting sqref="N19:AM20">
    <cfRule type="containsText" dxfId="5" priority="689" operator="containsText" text="AP">
      <formula>NOT(ISERROR(SEARCH(("AP"),(N19))))</formula>
    </cfRule>
  </conditionalFormatting>
  <conditionalFormatting sqref="N19:AM20">
    <cfRule type="containsText" dxfId="6" priority="690" operator="containsText" text="Ts">
      <formula>NOT(ISERROR(SEARCH(("Ts"),(N19))))</formula>
    </cfRule>
  </conditionalFormatting>
  <conditionalFormatting sqref="N21:AM21">
    <cfRule type="containsText" dxfId="12" priority="691" operator="containsText" text="ex">
      <formula>NOT(ISERROR(SEARCH(("ex"),(N21))))</formula>
    </cfRule>
  </conditionalFormatting>
  <conditionalFormatting sqref="N21:AM21">
    <cfRule type="containsText" dxfId="6" priority="692" operator="containsText" text="curso">
      <formula>NOT(ISERROR(SEARCH(("curso"),(N21))))</formula>
    </cfRule>
  </conditionalFormatting>
  <conditionalFormatting sqref="N21:AM21">
    <cfRule type="containsText" dxfId="13" priority="693" operator="containsText" text="indisp">
      <formula>NOT(ISERROR(SEARCH(("indisp"),(N21))))</formula>
    </cfRule>
  </conditionalFormatting>
  <conditionalFormatting sqref="N21:AM21">
    <cfRule type="containsText" dxfId="4" priority="694" operator="containsText" text="B A J A">
      <formula>NOT(ISERROR(SEARCH(("B A J A"),(N21))))</formula>
    </cfRule>
  </conditionalFormatting>
  <conditionalFormatting sqref="N21:AM21">
    <cfRule type="containsText" dxfId="4" priority="695" operator="containsText" text="BAJA">
      <formula>NOT(ISERROR(SEARCH(("BAJA"),(N21))))</formula>
    </cfRule>
  </conditionalFormatting>
  <conditionalFormatting sqref="N21:AM21">
    <cfRule type="containsText" dxfId="4" priority="696" operator="containsText" text="V A C A C I O N E S">
      <formula>NOT(ISERROR(SEARCH(("V A C A C I O N E S"),(N21))))</formula>
    </cfRule>
  </conditionalFormatting>
  <conditionalFormatting sqref="N21:AM21">
    <cfRule type="containsText" dxfId="4" priority="697" operator="containsText" text="Vacaciones">
      <formula>NOT(ISERROR(SEARCH(("Vacaciones"),(N21))))</formula>
    </cfRule>
  </conditionalFormatting>
  <conditionalFormatting sqref="N21:AM21">
    <cfRule type="containsText" dxfId="6" priority="698" operator="containsText" text="JuB">
      <formula>NOT(ISERROR(SEARCH(("JuB"),(N21))))</formula>
    </cfRule>
  </conditionalFormatting>
  <conditionalFormatting sqref="N21:AM21">
    <cfRule type="containsText" dxfId="6" priority="699" operator="containsText" text="JuC">
      <formula>NOT(ISERROR(SEARCH(("JuC"),(N21))))</formula>
    </cfRule>
  </conditionalFormatting>
  <conditionalFormatting sqref="N21:AM21">
    <cfRule type="containsText" dxfId="5" priority="700" operator="containsText" text="AP">
      <formula>NOT(ISERROR(SEARCH(("AP"),(N21))))</formula>
    </cfRule>
  </conditionalFormatting>
  <conditionalFormatting sqref="N21:AM21">
    <cfRule type="containsText" dxfId="6" priority="701" operator="containsText" text="Ts">
      <formula>NOT(ISERROR(SEARCH(("Ts"),(N21))))</formula>
    </cfRule>
  </conditionalFormatting>
  <conditionalFormatting sqref="N21:AM22">
    <cfRule type="containsText" dxfId="12" priority="702" operator="containsText" text="ex">
      <formula>NOT(ISERROR(SEARCH(("ex"),(N21))))</formula>
    </cfRule>
  </conditionalFormatting>
  <conditionalFormatting sqref="N21:AM22">
    <cfRule type="containsText" dxfId="6" priority="703" operator="containsText" text="curso">
      <formula>NOT(ISERROR(SEARCH(("curso"),(N21))))</formula>
    </cfRule>
  </conditionalFormatting>
  <conditionalFormatting sqref="N21:AM22">
    <cfRule type="containsText" dxfId="13" priority="704" operator="containsText" text="indisp">
      <formula>NOT(ISERROR(SEARCH(("indisp"),(N21))))</formula>
    </cfRule>
  </conditionalFormatting>
  <conditionalFormatting sqref="N21:AM22">
    <cfRule type="containsText" dxfId="4" priority="705" operator="containsText" text="B A J A">
      <formula>NOT(ISERROR(SEARCH(("B A J A"),(N21))))</formula>
    </cfRule>
  </conditionalFormatting>
  <conditionalFormatting sqref="N21:AM22">
    <cfRule type="containsText" dxfId="4" priority="706" operator="containsText" text="BAJA">
      <formula>NOT(ISERROR(SEARCH(("BAJA"),(N21))))</formula>
    </cfRule>
  </conditionalFormatting>
  <conditionalFormatting sqref="N21:AM22">
    <cfRule type="containsText" dxfId="4" priority="707" operator="containsText" text="V A C A C I O N E S">
      <formula>NOT(ISERROR(SEARCH(("V A C A C I O N E S"),(N21))))</formula>
    </cfRule>
  </conditionalFormatting>
  <conditionalFormatting sqref="N21:AM22">
    <cfRule type="containsText" dxfId="4" priority="708" operator="containsText" text="Vacaciones">
      <formula>NOT(ISERROR(SEARCH(("Vacaciones"),(N21))))</formula>
    </cfRule>
  </conditionalFormatting>
  <conditionalFormatting sqref="N21:AM22">
    <cfRule type="containsText" dxfId="6" priority="709" operator="containsText" text="JuB">
      <formula>NOT(ISERROR(SEARCH(("JuB"),(N21))))</formula>
    </cfRule>
  </conditionalFormatting>
  <conditionalFormatting sqref="N21:AM22">
    <cfRule type="containsText" dxfId="6" priority="710" operator="containsText" text="JuC">
      <formula>NOT(ISERROR(SEARCH(("JuC"),(N21))))</formula>
    </cfRule>
  </conditionalFormatting>
  <conditionalFormatting sqref="N21:AM22">
    <cfRule type="containsText" dxfId="5" priority="711" operator="containsText" text="AP">
      <formula>NOT(ISERROR(SEARCH(("AP"),(N21))))</formula>
    </cfRule>
  </conditionalFormatting>
  <conditionalFormatting sqref="N21:AM22">
    <cfRule type="containsText" dxfId="6" priority="712" operator="containsText" text="Ts">
      <formula>NOT(ISERROR(SEARCH(("Ts"),(N21))))</formula>
    </cfRule>
  </conditionalFormatting>
  <conditionalFormatting sqref="N23:AM23">
    <cfRule type="containsText" dxfId="12" priority="713" operator="containsText" text="ex">
      <formula>NOT(ISERROR(SEARCH(("ex"),(N23))))</formula>
    </cfRule>
  </conditionalFormatting>
  <conditionalFormatting sqref="N23:AM23">
    <cfRule type="containsText" dxfId="6" priority="714" operator="containsText" text="curso">
      <formula>NOT(ISERROR(SEARCH(("curso"),(N23))))</formula>
    </cfRule>
  </conditionalFormatting>
  <conditionalFormatting sqref="N23:AM23">
    <cfRule type="containsText" dxfId="13" priority="715" operator="containsText" text="indisp">
      <formula>NOT(ISERROR(SEARCH(("indisp"),(N23))))</formula>
    </cfRule>
  </conditionalFormatting>
  <conditionalFormatting sqref="N23:AM23">
    <cfRule type="containsText" dxfId="4" priority="716" operator="containsText" text="B A J A">
      <formula>NOT(ISERROR(SEARCH(("B A J A"),(N23))))</formula>
    </cfRule>
  </conditionalFormatting>
  <conditionalFormatting sqref="N23:AM23">
    <cfRule type="containsText" dxfId="4" priority="717" operator="containsText" text="BAJA">
      <formula>NOT(ISERROR(SEARCH(("BAJA"),(N23))))</formula>
    </cfRule>
  </conditionalFormatting>
  <conditionalFormatting sqref="N23:AM23">
    <cfRule type="containsText" dxfId="4" priority="718" operator="containsText" text="V A C A C I O N E S">
      <formula>NOT(ISERROR(SEARCH(("V A C A C I O N E S"),(N23))))</formula>
    </cfRule>
  </conditionalFormatting>
  <conditionalFormatting sqref="N23:AM23">
    <cfRule type="containsText" dxfId="4" priority="719" operator="containsText" text="Vacaciones">
      <formula>NOT(ISERROR(SEARCH(("Vacaciones"),(N23))))</formula>
    </cfRule>
  </conditionalFormatting>
  <conditionalFormatting sqref="N23:AM23">
    <cfRule type="containsText" dxfId="6" priority="720" operator="containsText" text="JuB">
      <formula>NOT(ISERROR(SEARCH(("JuB"),(N23))))</formula>
    </cfRule>
  </conditionalFormatting>
  <conditionalFormatting sqref="N23:AM23">
    <cfRule type="containsText" dxfId="6" priority="721" operator="containsText" text="JuC">
      <formula>NOT(ISERROR(SEARCH(("JuC"),(N23))))</formula>
    </cfRule>
  </conditionalFormatting>
  <conditionalFormatting sqref="N23:AM23">
    <cfRule type="containsText" dxfId="5" priority="722" operator="containsText" text="AP">
      <formula>NOT(ISERROR(SEARCH(("AP"),(N23))))</formula>
    </cfRule>
  </conditionalFormatting>
  <conditionalFormatting sqref="N23:AM23">
    <cfRule type="containsText" dxfId="6" priority="723" operator="containsText" text="Ts">
      <formula>NOT(ISERROR(SEARCH(("Ts"),(N23))))</formula>
    </cfRule>
  </conditionalFormatting>
  <conditionalFormatting sqref="N23:AM24">
    <cfRule type="containsText" dxfId="12" priority="724" operator="containsText" text="ex">
      <formula>NOT(ISERROR(SEARCH(("ex"),(N23))))</formula>
    </cfRule>
  </conditionalFormatting>
  <conditionalFormatting sqref="N23:AM24">
    <cfRule type="containsText" dxfId="6" priority="725" operator="containsText" text="curso">
      <formula>NOT(ISERROR(SEARCH(("curso"),(N23))))</formula>
    </cfRule>
  </conditionalFormatting>
  <conditionalFormatting sqref="N23:AM24">
    <cfRule type="containsText" dxfId="13" priority="726" operator="containsText" text="indisp">
      <formula>NOT(ISERROR(SEARCH(("indisp"),(N23))))</formula>
    </cfRule>
  </conditionalFormatting>
  <conditionalFormatting sqref="N23:AM24">
    <cfRule type="containsText" dxfId="4" priority="727" operator="containsText" text="B A J A">
      <formula>NOT(ISERROR(SEARCH(("B A J A"),(N23))))</formula>
    </cfRule>
  </conditionalFormatting>
  <conditionalFormatting sqref="N23:AM24">
    <cfRule type="containsText" dxfId="4" priority="728" operator="containsText" text="BAJA">
      <formula>NOT(ISERROR(SEARCH(("BAJA"),(N23))))</formula>
    </cfRule>
  </conditionalFormatting>
  <conditionalFormatting sqref="N23:AM24">
    <cfRule type="containsText" dxfId="4" priority="729" operator="containsText" text="V A C A C I O N E S">
      <formula>NOT(ISERROR(SEARCH(("V A C A C I O N E S"),(N23))))</formula>
    </cfRule>
  </conditionalFormatting>
  <conditionalFormatting sqref="N23:AM24">
    <cfRule type="containsText" dxfId="4" priority="730" operator="containsText" text="Vacaciones">
      <formula>NOT(ISERROR(SEARCH(("Vacaciones"),(N23))))</formula>
    </cfRule>
  </conditionalFormatting>
  <conditionalFormatting sqref="N23:AM24">
    <cfRule type="containsText" dxfId="6" priority="731" operator="containsText" text="JuB">
      <formula>NOT(ISERROR(SEARCH(("JuB"),(N23))))</formula>
    </cfRule>
  </conditionalFormatting>
  <conditionalFormatting sqref="N23:AM24">
    <cfRule type="containsText" dxfId="6" priority="732" operator="containsText" text="JuC">
      <formula>NOT(ISERROR(SEARCH(("JuC"),(N23))))</formula>
    </cfRule>
  </conditionalFormatting>
  <conditionalFormatting sqref="N23:AM24">
    <cfRule type="containsText" dxfId="5" priority="733" operator="containsText" text="AP">
      <formula>NOT(ISERROR(SEARCH(("AP"),(N23))))</formula>
    </cfRule>
  </conditionalFormatting>
  <conditionalFormatting sqref="N23:AM24">
    <cfRule type="containsText" dxfId="6" priority="734" operator="containsText" text="Ts">
      <formula>NOT(ISERROR(SEARCH(("Ts"),(N23))))</formula>
    </cfRule>
  </conditionalFormatting>
  <conditionalFormatting sqref="N25:AM25">
    <cfRule type="containsText" dxfId="12" priority="735" operator="containsText" text="ex">
      <formula>NOT(ISERROR(SEARCH(("ex"),(N25))))</formula>
    </cfRule>
  </conditionalFormatting>
  <conditionalFormatting sqref="N25:AM25">
    <cfRule type="containsText" dxfId="6" priority="736" operator="containsText" text="curso">
      <formula>NOT(ISERROR(SEARCH(("curso"),(N25))))</formula>
    </cfRule>
  </conditionalFormatting>
  <conditionalFormatting sqref="N25:AM25">
    <cfRule type="containsText" dxfId="13" priority="737" operator="containsText" text="indisp">
      <formula>NOT(ISERROR(SEARCH(("indisp"),(N25))))</formula>
    </cfRule>
  </conditionalFormatting>
  <conditionalFormatting sqref="N25:AM25">
    <cfRule type="containsText" dxfId="4" priority="738" operator="containsText" text="B A J A">
      <formula>NOT(ISERROR(SEARCH(("B A J A"),(N25))))</formula>
    </cfRule>
  </conditionalFormatting>
  <conditionalFormatting sqref="N25:AM25">
    <cfRule type="containsText" dxfId="4" priority="739" operator="containsText" text="BAJA">
      <formula>NOT(ISERROR(SEARCH(("BAJA"),(N25))))</formula>
    </cfRule>
  </conditionalFormatting>
  <conditionalFormatting sqref="N25:AM25">
    <cfRule type="containsText" dxfId="4" priority="740" operator="containsText" text="V A C A C I O N E S">
      <formula>NOT(ISERROR(SEARCH(("V A C A C I O N E S"),(N25))))</formula>
    </cfRule>
  </conditionalFormatting>
  <conditionalFormatting sqref="N25:AM25">
    <cfRule type="containsText" dxfId="4" priority="741" operator="containsText" text="Vacaciones">
      <formula>NOT(ISERROR(SEARCH(("Vacaciones"),(N25))))</formula>
    </cfRule>
  </conditionalFormatting>
  <conditionalFormatting sqref="N25:AM25">
    <cfRule type="containsText" dxfId="6" priority="742" operator="containsText" text="JuB">
      <formula>NOT(ISERROR(SEARCH(("JuB"),(N25))))</formula>
    </cfRule>
  </conditionalFormatting>
  <conditionalFormatting sqref="N25:AM25">
    <cfRule type="containsText" dxfId="6" priority="743" operator="containsText" text="JuC">
      <formula>NOT(ISERROR(SEARCH(("JuC"),(N25))))</formula>
    </cfRule>
  </conditionalFormatting>
  <conditionalFormatting sqref="N25:AM25">
    <cfRule type="containsText" dxfId="5" priority="744" operator="containsText" text="AP">
      <formula>NOT(ISERROR(SEARCH(("AP"),(N25))))</formula>
    </cfRule>
  </conditionalFormatting>
  <conditionalFormatting sqref="N25:AM25">
    <cfRule type="containsText" dxfId="6" priority="745" operator="containsText" text="Ts">
      <formula>NOT(ISERROR(SEARCH(("Ts"),(N25))))</formula>
    </cfRule>
  </conditionalFormatting>
  <conditionalFormatting sqref="N25:AM26">
    <cfRule type="containsText" dxfId="12" priority="746" operator="containsText" text="ex">
      <formula>NOT(ISERROR(SEARCH(("ex"),(N25))))</formula>
    </cfRule>
  </conditionalFormatting>
  <conditionalFormatting sqref="N25:AM26">
    <cfRule type="containsText" dxfId="6" priority="747" operator="containsText" text="curso">
      <formula>NOT(ISERROR(SEARCH(("curso"),(N25))))</formula>
    </cfRule>
  </conditionalFormatting>
  <conditionalFormatting sqref="N25:AM26">
    <cfRule type="containsText" dxfId="13" priority="748" operator="containsText" text="indisp">
      <formula>NOT(ISERROR(SEARCH(("indisp"),(N25))))</formula>
    </cfRule>
  </conditionalFormatting>
  <conditionalFormatting sqref="N25:AM26">
    <cfRule type="containsText" dxfId="4" priority="749" operator="containsText" text="B A J A">
      <formula>NOT(ISERROR(SEARCH(("B A J A"),(N25))))</formula>
    </cfRule>
  </conditionalFormatting>
  <conditionalFormatting sqref="N25:AM26">
    <cfRule type="containsText" dxfId="4" priority="750" operator="containsText" text="BAJA">
      <formula>NOT(ISERROR(SEARCH(("BAJA"),(N25))))</formula>
    </cfRule>
  </conditionalFormatting>
  <conditionalFormatting sqref="N25:AM26">
    <cfRule type="containsText" dxfId="4" priority="751" operator="containsText" text="V A C A C I O N E S">
      <formula>NOT(ISERROR(SEARCH(("V A C A C I O N E S"),(N25))))</formula>
    </cfRule>
  </conditionalFormatting>
  <conditionalFormatting sqref="N25:AM26">
    <cfRule type="containsText" dxfId="4" priority="752" operator="containsText" text="Vacaciones">
      <formula>NOT(ISERROR(SEARCH(("Vacaciones"),(N25))))</formula>
    </cfRule>
  </conditionalFormatting>
  <conditionalFormatting sqref="N25:AM26">
    <cfRule type="containsText" dxfId="6" priority="753" operator="containsText" text="JuB">
      <formula>NOT(ISERROR(SEARCH(("JuB"),(N25))))</formula>
    </cfRule>
  </conditionalFormatting>
  <conditionalFormatting sqref="N25:AM26">
    <cfRule type="containsText" dxfId="6" priority="754" operator="containsText" text="JuC">
      <formula>NOT(ISERROR(SEARCH(("JuC"),(N25))))</formula>
    </cfRule>
  </conditionalFormatting>
  <conditionalFormatting sqref="N25:AM26">
    <cfRule type="containsText" dxfId="5" priority="755" operator="containsText" text="AP">
      <formula>NOT(ISERROR(SEARCH(("AP"),(N25))))</formula>
    </cfRule>
  </conditionalFormatting>
  <conditionalFormatting sqref="N25:AM26">
    <cfRule type="containsText" dxfId="6" priority="756" operator="containsText" text="Ts">
      <formula>NOT(ISERROR(SEARCH(("Ts"),(N25))))</formula>
    </cfRule>
  </conditionalFormatting>
  <conditionalFormatting sqref="N27:AM27">
    <cfRule type="containsText" dxfId="12" priority="757" operator="containsText" text="ex">
      <formula>NOT(ISERROR(SEARCH(("ex"),(N27))))</formula>
    </cfRule>
  </conditionalFormatting>
  <conditionalFormatting sqref="N27:AM27">
    <cfRule type="containsText" dxfId="6" priority="758" operator="containsText" text="curso">
      <formula>NOT(ISERROR(SEARCH(("curso"),(N27))))</formula>
    </cfRule>
  </conditionalFormatting>
  <conditionalFormatting sqref="N27:AM27">
    <cfRule type="containsText" dxfId="13" priority="759" operator="containsText" text="indisp">
      <formula>NOT(ISERROR(SEARCH(("indisp"),(N27))))</formula>
    </cfRule>
  </conditionalFormatting>
  <conditionalFormatting sqref="N27:AM27">
    <cfRule type="containsText" dxfId="4" priority="760" operator="containsText" text="B A J A">
      <formula>NOT(ISERROR(SEARCH(("B A J A"),(N27))))</formula>
    </cfRule>
  </conditionalFormatting>
  <conditionalFormatting sqref="N27:AM27">
    <cfRule type="containsText" dxfId="4" priority="761" operator="containsText" text="BAJA">
      <formula>NOT(ISERROR(SEARCH(("BAJA"),(N27))))</formula>
    </cfRule>
  </conditionalFormatting>
  <conditionalFormatting sqref="N27:AM27">
    <cfRule type="containsText" dxfId="4" priority="762" operator="containsText" text="V A C A C I O N E S">
      <formula>NOT(ISERROR(SEARCH(("V A C A C I O N E S"),(N27))))</formula>
    </cfRule>
  </conditionalFormatting>
  <conditionalFormatting sqref="N27:AM27">
    <cfRule type="containsText" dxfId="4" priority="763" operator="containsText" text="Vacaciones">
      <formula>NOT(ISERROR(SEARCH(("Vacaciones"),(N27))))</formula>
    </cfRule>
  </conditionalFormatting>
  <conditionalFormatting sqref="N27:AM27">
    <cfRule type="containsText" dxfId="6" priority="764" operator="containsText" text="JuB">
      <formula>NOT(ISERROR(SEARCH(("JuB"),(N27))))</formula>
    </cfRule>
  </conditionalFormatting>
  <conditionalFormatting sqref="N27:AM27">
    <cfRule type="containsText" dxfId="6" priority="765" operator="containsText" text="JuC">
      <formula>NOT(ISERROR(SEARCH(("JuC"),(N27))))</formula>
    </cfRule>
  </conditionalFormatting>
  <conditionalFormatting sqref="N27:AM27">
    <cfRule type="containsText" dxfId="5" priority="766" operator="containsText" text="AP">
      <formula>NOT(ISERROR(SEARCH(("AP"),(N27))))</formula>
    </cfRule>
  </conditionalFormatting>
  <conditionalFormatting sqref="N27:AM27">
    <cfRule type="containsText" dxfId="6" priority="767" operator="containsText" text="Ts">
      <formula>NOT(ISERROR(SEARCH(("Ts"),(N27))))</formula>
    </cfRule>
  </conditionalFormatting>
  <conditionalFormatting sqref="N27:AM28">
    <cfRule type="containsText" dxfId="12" priority="768" operator="containsText" text="ex">
      <formula>NOT(ISERROR(SEARCH(("ex"),(N27))))</formula>
    </cfRule>
  </conditionalFormatting>
  <conditionalFormatting sqref="N27:AM28">
    <cfRule type="containsText" dxfId="6" priority="769" operator="containsText" text="curso">
      <formula>NOT(ISERROR(SEARCH(("curso"),(N27))))</formula>
    </cfRule>
  </conditionalFormatting>
  <conditionalFormatting sqref="N27:AM28">
    <cfRule type="containsText" dxfId="13" priority="770" operator="containsText" text="indisp">
      <formula>NOT(ISERROR(SEARCH(("indisp"),(N27))))</formula>
    </cfRule>
  </conditionalFormatting>
  <conditionalFormatting sqref="N27:AM28">
    <cfRule type="containsText" dxfId="4" priority="771" operator="containsText" text="B A J A">
      <formula>NOT(ISERROR(SEARCH(("B A J A"),(N27))))</formula>
    </cfRule>
  </conditionalFormatting>
  <conditionalFormatting sqref="N27:AM28">
    <cfRule type="containsText" dxfId="4" priority="772" operator="containsText" text="BAJA">
      <formula>NOT(ISERROR(SEARCH(("BAJA"),(N27))))</formula>
    </cfRule>
  </conditionalFormatting>
  <conditionalFormatting sqref="N27:AM28">
    <cfRule type="containsText" dxfId="4" priority="773" operator="containsText" text="V A C A C I O N E S">
      <formula>NOT(ISERROR(SEARCH(("V A C A C I O N E S"),(N27))))</formula>
    </cfRule>
  </conditionalFormatting>
  <conditionalFormatting sqref="N27:AM28">
    <cfRule type="containsText" dxfId="4" priority="774" operator="containsText" text="Vacaciones">
      <formula>NOT(ISERROR(SEARCH(("Vacaciones"),(N27))))</formula>
    </cfRule>
  </conditionalFormatting>
  <conditionalFormatting sqref="N27:AM28">
    <cfRule type="containsText" dxfId="6" priority="775" operator="containsText" text="JuB">
      <formula>NOT(ISERROR(SEARCH(("JuB"),(N27))))</formula>
    </cfRule>
  </conditionalFormatting>
  <conditionalFormatting sqref="N27:AM28">
    <cfRule type="containsText" dxfId="6" priority="776" operator="containsText" text="JuC">
      <formula>NOT(ISERROR(SEARCH(("JuC"),(N27))))</formula>
    </cfRule>
  </conditionalFormatting>
  <conditionalFormatting sqref="N27:AM28">
    <cfRule type="containsText" dxfId="5" priority="777" operator="containsText" text="AP">
      <formula>NOT(ISERROR(SEARCH(("AP"),(N27))))</formula>
    </cfRule>
  </conditionalFormatting>
  <conditionalFormatting sqref="N27:AM28">
    <cfRule type="containsText" dxfId="6" priority="778" operator="containsText" text="Ts">
      <formula>NOT(ISERROR(SEARCH(("Ts"),(N27))))</formula>
    </cfRule>
  </conditionalFormatting>
  <conditionalFormatting sqref="N29:P29 T29:AM29">
    <cfRule type="containsText" dxfId="12" priority="779" operator="containsText" text="ex">
      <formula>NOT(ISERROR(SEARCH(("ex"),(N29))))</formula>
    </cfRule>
  </conditionalFormatting>
  <conditionalFormatting sqref="N29:P29 T29:AM29">
    <cfRule type="containsText" dxfId="6" priority="780" operator="containsText" text="curso">
      <formula>NOT(ISERROR(SEARCH(("curso"),(N29))))</formula>
    </cfRule>
  </conditionalFormatting>
  <conditionalFormatting sqref="N29:P29 T29:AM29">
    <cfRule type="containsText" dxfId="13" priority="781" operator="containsText" text="indisp">
      <formula>NOT(ISERROR(SEARCH(("indisp"),(N29))))</formula>
    </cfRule>
  </conditionalFormatting>
  <conditionalFormatting sqref="N29:P29 T29:AM29">
    <cfRule type="containsText" dxfId="4" priority="782" operator="containsText" text="B A J A">
      <formula>NOT(ISERROR(SEARCH(("B A J A"),(N29))))</formula>
    </cfRule>
  </conditionalFormatting>
  <conditionalFormatting sqref="N29:P29 T29:AM29">
    <cfRule type="containsText" dxfId="4" priority="783" operator="containsText" text="BAJA">
      <formula>NOT(ISERROR(SEARCH(("BAJA"),(N29))))</formula>
    </cfRule>
  </conditionalFormatting>
  <conditionalFormatting sqref="N29:P29 T29:AM29">
    <cfRule type="containsText" dxfId="4" priority="784" operator="containsText" text="V A C A C I O N E S">
      <formula>NOT(ISERROR(SEARCH(("V A C A C I O N E S"),(N29))))</formula>
    </cfRule>
  </conditionalFormatting>
  <conditionalFormatting sqref="N29:P29 T29:AM29">
    <cfRule type="containsText" dxfId="4" priority="785" operator="containsText" text="Vacaciones">
      <formula>NOT(ISERROR(SEARCH(("Vacaciones"),(N29))))</formula>
    </cfRule>
  </conditionalFormatting>
  <conditionalFormatting sqref="N29:P29 T29:AM29">
    <cfRule type="containsText" dxfId="6" priority="786" operator="containsText" text="JuB">
      <formula>NOT(ISERROR(SEARCH(("JuB"),(N29))))</formula>
    </cfRule>
  </conditionalFormatting>
  <conditionalFormatting sqref="N29:P29 T29:AM29">
    <cfRule type="containsText" dxfId="6" priority="787" operator="containsText" text="JuC">
      <formula>NOT(ISERROR(SEARCH(("JuC"),(N29))))</formula>
    </cfRule>
  </conditionalFormatting>
  <conditionalFormatting sqref="N29:P29 T29:AM29">
    <cfRule type="containsText" dxfId="5" priority="788" operator="containsText" text="AP">
      <formula>NOT(ISERROR(SEARCH(("AP"),(N29))))</formula>
    </cfRule>
  </conditionalFormatting>
  <conditionalFormatting sqref="N29:P29 T29:AM29">
    <cfRule type="containsText" dxfId="6" priority="789" operator="containsText" text="Ts">
      <formula>NOT(ISERROR(SEARCH(("Ts"),(N29))))</formula>
    </cfRule>
  </conditionalFormatting>
  <conditionalFormatting sqref="N29:P29 T29:AM29">
    <cfRule type="containsText" dxfId="7" priority="790" operator="containsText" text="D">
      <formula>NOT(ISERROR(SEARCH(("D"),(N29))))</formula>
    </cfRule>
  </conditionalFormatting>
  <conditionalFormatting sqref="N29:P29 T29:AM29">
    <cfRule type="containsText" dxfId="8" priority="791" operator="containsText" text="3">
      <formula>NOT(ISERROR(SEARCH(("3"),(N29))))</formula>
    </cfRule>
  </conditionalFormatting>
  <conditionalFormatting sqref="N29:P29 T29:AM29">
    <cfRule type="containsText" dxfId="9" priority="792" operator="containsText" text="2">
      <formula>NOT(ISERROR(SEARCH(("2"),(N29))))</formula>
    </cfRule>
  </conditionalFormatting>
  <conditionalFormatting sqref="N29:P29 T29:AM29">
    <cfRule type="containsText" dxfId="10" priority="793" operator="containsText" text="1">
      <formula>NOT(ISERROR(SEARCH(("1"),(N29))))</formula>
    </cfRule>
  </conditionalFormatting>
  <conditionalFormatting sqref="N29:P29 T29:AM29">
    <cfRule type="containsText" dxfId="10" priority="794" operator="containsText" text="L">
      <formula>NOT(ISERROR(SEARCH(("L"),(N29))))</formula>
    </cfRule>
  </conditionalFormatting>
  <conditionalFormatting sqref="N29:P29 N30:AM30 T29:AM29">
    <cfRule type="containsText" dxfId="12" priority="795" operator="containsText" text="ex">
      <formula>NOT(ISERROR(SEARCH(("ex"),(N29))))</formula>
    </cfRule>
  </conditionalFormatting>
  <conditionalFormatting sqref="N29:P29 N30:AM30 T29:AM29">
    <cfRule type="containsText" dxfId="6" priority="796" operator="containsText" text="curso">
      <formula>NOT(ISERROR(SEARCH(("curso"),(N29))))</formula>
    </cfRule>
  </conditionalFormatting>
  <conditionalFormatting sqref="N29:P29 N30:AM30 T29:AM29">
    <cfRule type="containsText" dxfId="13" priority="797" operator="containsText" text="indisp">
      <formula>NOT(ISERROR(SEARCH(("indisp"),(N29))))</formula>
    </cfRule>
  </conditionalFormatting>
  <conditionalFormatting sqref="N29:P29 N30:AM30 T29:AM29">
    <cfRule type="containsText" dxfId="4" priority="798" operator="containsText" text="B A J A">
      <formula>NOT(ISERROR(SEARCH(("B A J A"),(N29))))</formula>
    </cfRule>
  </conditionalFormatting>
  <conditionalFormatting sqref="N29:P29 N30:AM30 T29:AM29">
    <cfRule type="containsText" dxfId="4" priority="799" operator="containsText" text="BAJA">
      <formula>NOT(ISERROR(SEARCH(("BAJA"),(N29))))</formula>
    </cfRule>
  </conditionalFormatting>
  <conditionalFormatting sqref="N29:P29 N30:AM30 T29:AM29">
    <cfRule type="containsText" dxfId="4" priority="800" operator="containsText" text="V A C A C I O N E S">
      <formula>NOT(ISERROR(SEARCH(("V A C A C I O N E S"),(N29))))</formula>
    </cfRule>
  </conditionalFormatting>
  <conditionalFormatting sqref="N29:P29 N30:AM30 T29:AM29">
    <cfRule type="containsText" dxfId="4" priority="801" operator="containsText" text="Vacaciones">
      <formula>NOT(ISERROR(SEARCH(("Vacaciones"),(N29))))</formula>
    </cfRule>
  </conditionalFormatting>
  <conditionalFormatting sqref="N29:P29 N30:AM30 T29:AM29">
    <cfRule type="containsText" dxfId="6" priority="802" operator="containsText" text="JuB">
      <formula>NOT(ISERROR(SEARCH(("JuB"),(N29))))</formula>
    </cfRule>
  </conditionalFormatting>
  <conditionalFormatting sqref="N29:P29 N30:AM30 T29:AM29">
    <cfRule type="containsText" dxfId="6" priority="803" operator="containsText" text="JuC">
      <formula>NOT(ISERROR(SEARCH(("JuC"),(N29))))</formula>
    </cfRule>
  </conditionalFormatting>
  <conditionalFormatting sqref="N29:P29 N30:AM30 T29:AM29">
    <cfRule type="containsText" dxfId="5" priority="804" operator="containsText" text="AP">
      <formula>NOT(ISERROR(SEARCH(("AP"),(N29))))</formula>
    </cfRule>
  </conditionalFormatting>
  <conditionalFormatting sqref="N29:P29 N30:AM30 T29:AM29">
    <cfRule type="containsText" dxfId="6" priority="805" operator="containsText" text="Ts">
      <formula>NOT(ISERROR(SEARCH(("Ts"),(N29))))</formula>
    </cfRule>
  </conditionalFormatting>
  <conditionalFormatting sqref="N31:AM31">
    <cfRule type="containsText" dxfId="12" priority="806" operator="containsText" text="ex">
      <formula>NOT(ISERROR(SEARCH(("ex"),(N31))))</formula>
    </cfRule>
  </conditionalFormatting>
  <conditionalFormatting sqref="N31:AM31">
    <cfRule type="containsText" dxfId="6" priority="807" operator="containsText" text="curso">
      <formula>NOT(ISERROR(SEARCH(("curso"),(N31))))</formula>
    </cfRule>
  </conditionalFormatting>
  <conditionalFormatting sqref="N31:AM31">
    <cfRule type="containsText" dxfId="13" priority="808" operator="containsText" text="indisp">
      <formula>NOT(ISERROR(SEARCH(("indisp"),(N31))))</formula>
    </cfRule>
  </conditionalFormatting>
  <conditionalFormatting sqref="N31:AM31">
    <cfRule type="containsText" dxfId="4" priority="809" operator="containsText" text="B A J A">
      <formula>NOT(ISERROR(SEARCH(("B A J A"),(N31))))</formula>
    </cfRule>
  </conditionalFormatting>
  <conditionalFormatting sqref="N31:AM31">
    <cfRule type="containsText" dxfId="4" priority="810" operator="containsText" text="BAJA">
      <formula>NOT(ISERROR(SEARCH(("BAJA"),(N31))))</formula>
    </cfRule>
  </conditionalFormatting>
  <conditionalFormatting sqref="N31:AM31">
    <cfRule type="containsText" dxfId="4" priority="811" operator="containsText" text="V A C A C I O N E S">
      <formula>NOT(ISERROR(SEARCH(("V A C A C I O N E S"),(N31))))</formula>
    </cfRule>
  </conditionalFormatting>
  <conditionalFormatting sqref="N31:AM31">
    <cfRule type="containsText" dxfId="4" priority="812" operator="containsText" text="Vacaciones">
      <formula>NOT(ISERROR(SEARCH(("Vacaciones"),(N31))))</formula>
    </cfRule>
  </conditionalFormatting>
  <conditionalFormatting sqref="N31:AM31">
    <cfRule type="containsText" dxfId="6" priority="813" operator="containsText" text="JuB">
      <formula>NOT(ISERROR(SEARCH(("JuB"),(N31))))</formula>
    </cfRule>
  </conditionalFormatting>
  <conditionalFormatting sqref="N31:AM31">
    <cfRule type="containsText" dxfId="6" priority="814" operator="containsText" text="JuC">
      <formula>NOT(ISERROR(SEARCH(("JuC"),(N31))))</formula>
    </cfRule>
  </conditionalFormatting>
  <conditionalFormatting sqref="N31:AM31">
    <cfRule type="containsText" dxfId="5" priority="815" operator="containsText" text="AP">
      <formula>NOT(ISERROR(SEARCH(("AP"),(N31))))</formula>
    </cfRule>
  </conditionalFormatting>
  <conditionalFormatting sqref="N31:AM31">
    <cfRule type="containsText" dxfId="6" priority="816" operator="containsText" text="Ts">
      <formula>NOT(ISERROR(SEARCH(("Ts"),(N31))))</formula>
    </cfRule>
  </conditionalFormatting>
  <conditionalFormatting sqref="N31:AM32 L32">
    <cfRule type="containsText" dxfId="12" priority="817" operator="containsText" text="ex">
      <formula>NOT(ISERROR(SEARCH(("ex"),(N31))))</formula>
    </cfRule>
  </conditionalFormatting>
  <conditionalFormatting sqref="N31:AM32 L32">
    <cfRule type="containsText" dxfId="6" priority="818" operator="containsText" text="curso">
      <formula>NOT(ISERROR(SEARCH(("curso"),(N31))))</formula>
    </cfRule>
  </conditionalFormatting>
  <conditionalFormatting sqref="N31:AM32 L32">
    <cfRule type="containsText" dxfId="13" priority="819" operator="containsText" text="indisp">
      <formula>NOT(ISERROR(SEARCH(("indisp"),(N31))))</formula>
    </cfRule>
  </conditionalFormatting>
  <conditionalFormatting sqref="N31:AM32 L32">
    <cfRule type="containsText" dxfId="4" priority="820" operator="containsText" text="B A J A">
      <formula>NOT(ISERROR(SEARCH(("B A J A"),(N31))))</formula>
    </cfRule>
  </conditionalFormatting>
  <conditionalFormatting sqref="N31:AM32 L32">
    <cfRule type="containsText" dxfId="4" priority="821" operator="containsText" text="BAJA">
      <formula>NOT(ISERROR(SEARCH(("BAJA"),(N31))))</formula>
    </cfRule>
  </conditionalFormatting>
  <conditionalFormatting sqref="N31:AM32 L32">
    <cfRule type="containsText" dxfId="4" priority="822" operator="containsText" text="V A C A C I O N E S">
      <formula>NOT(ISERROR(SEARCH(("V A C A C I O N E S"),(N31))))</formula>
    </cfRule>
  </conditionalFormatting>
  <conditionalFormatting sqref="N31:AM32 L32">
    <cfRule type="containsText" dxfId="4" priority="823" operator="containsText" text="Vacaciones">
      <formula>NOT(ISERROR(SEARCH(("Vacaciones"),(N31))))</formula>
    </cfRule>
  </conditionalFormatting>
  <conditionalFormatting sqref="N31:AM32 L32">
    <cfRule type="containsText" dxfId="6" priority="824" operator="containsText" text="JuB">
      <formula>NOT(ISERROR(SEARCH(("JuB"),(N31))))</formula>
    </cfRule>
  </conditionalFormatting>
  <conditionalFormatting sqref="N31:AM32 L32">
    <cfRule type="containsText" dxfId="6" priority="825" operator="containsText" text="JuC">
      <formula>NOT(ISERROR(SEARCH(("JuC"),(N31))))</formula>
    </cfRule>
  </conditionalFormatting>
  <conditionalFormatting sqref="N31:AM32 L32">
    <cfRule type="containsText" dxfId="5" priority="826" operator="containsText" text="AP">
      <formula>NOT(ISERROR(SEARCH(("AP"),(N31))))</formula>
    </cfRule>
  </conditionalFormatting>
  <conditionalFormatting sqref="N31:AM32 L32">
    <cfRule type="containsText" dxfId="6" priority="827" operator="containsText" text="Ts">
      <formula>NOT(ISERROR(SEARCH(("Ts"),(N31))))</formula>
    </cfRule>
  </conditionalFormatting>
  <conditionalFormatting sqref="N34:AM34 N37:AM38">
    <cfRule type="containsText" dxfId="12" priority="828" operator="containsText" text="ex">
      <formula>NOT(ISERROR(SEARCH(("ex"),(N34))))</formula>
    </cfRule>
  </conditionalFormatting>
  <conditionalFormatting sqref="N34:AM34 N37:AM38">
    <cfRule type="containsText" dxfId="6" priority="829" operator="containsText" text="curso">
      <formula>NOT(ISERROR(SEARCH(("curso"),(N34))))</formula>
    </cfRule>
  </conditionalFormatting>
  <conditionalFormatting sqref="N34:AM34 N37:AM38">
    <cfRule type="containsText" dxfId="13" priority="830" operator="containsText" text="indisp">
      <formula>NOT(ISERROR(SEARCH(("indisp"),(N34))))</formula>
    </cfRule>
  </conditionalFormatting>
  <conditionalFormatting sqref="N34:AM34 N37:AM38">
    <cfRule type="containsText" dxfId="4" priority="831" operator="containsText" text="B A J A">
      <formula>NOT(ISERROR(SEARCH(("B A J A"),(N34))))</formula>
    </cfRule>
  </conditionalFormatting>
  <conditionalFormatting sqref="N34:AM34 N37:AM38">
    <cfRule type="containsText" dxfId="4" priority="832" operator="containsText" text="BAJA">
      <formula>NOT(ISERROR(SEARCH(("BAJA"),(N34))))</formula>
    </cfRule>
  </conditionalFormatting>
  <conditionalFormatting sqref="N34:AM34 N37:AM38">
    <cfRule type="containsText" dxfId="4" priority="833" operator="containsText" text="V A C A C I O N E S">
      <formula>NOT(ISERROR(SEARCH(("V A C A C I O N E S"),(N34))))</formula>
    </cfRule>
  </conditionalFormatting>
  <conditionalFormatting sqref="N34:AM34 N37:AM38">
    <cfRule type="containsText" dxfId="4" priority="834" operator="containsText" text="Vacaciones">
      <formula>NOT(ISERROR(SEARCH(("Vacaciones"),(N34))))</formula>
    </cfRule>
  </conditionalFormatting>
  <conditionalFormatting sqref="N34:AM34 N37:AM38">
    <cfRule type="containsText" dxfId="6" priority="835" operator="containsText" text="JuB">
      <formula>NOT(ISERROR(SEARCH(("JuB"),(N34))))</formula>
    </cfRule>
  </conditionalFormatting>
  <conditionalFormatting sqref="N34:AM34 N37:AM38">
    <cfRule type="containsText" dxfId="6" priority="836" operator="containsText" text="JuC">
      <formula>NOT(ISERROR(SEARCH(("JuC"),(N34))))</formula>
    </cfRule>
  </conditionalFormatting>
  <conditionalFormatting sqref="N34:AM34 N37:AM38">
    <cfRule type="containsText" dxfId="5" priority="837" operator="containsText" text="AP">
      <formula>NOT(ISERROR(SEARCH(("AP"),(N34))))</formula>
    </cfRule>
  </conditionalFormatting>
  <conditionalFormatting sqref="N34:AM34 N37:AM38">
    <cfRule type="containsText" dxfId="6" priority="838" operator="containsText" text="Ts">
      <formula>NOT(ISERROR(SEARCH(("Ts"),(N34))))</formula>
    </cfRule>
  </conditionalFormatting>
  <conditionalFormatting sqref="N39:AC39 AH39:AM39">
    <cfRule type="containsText" dxfId="12" priority="839" operator="containsText" text="ex">
      <formula>NOT(ISERROR(SEARCH(("ex"),(N39))))</formula>
    </cfRule>
  </conditionalFormatting>
  <conditionalFormatting sqref="N39:AC39 AH39:AM39">
    <cfRule type="containsText" dxfId="6" priority="840" operator="containsText" text="curso">
      <formula>NOT(ISERROR(SEARCH(("curso"),(N39))))</formula>
    </cfRule>
  </conditionalFormatting>
  <conditionalFormatting sqref="N39:AC39 AH39:AM39">
    <cfRule type="containsText" dxfId="13" priority="841" operator="containsText" text="indisp">
      <formula>NOT(ISERROR(SEARCH(("indisp"),(N39))))</formula>
    </cfRule>
  </conditionalFormatting>
  <conditionalFormatting sqref="N39:AC39 AH39:AM39">
    <cfRule type="containsText" dxfId="4" priority="842" operator="containsText" text="B A J A">
      <formula>NOT(ISERROR(SEARCH(("B A J A"),(N39))))</formula>
    </cfRule>
  </conditionalFormatting>
  <conditionalFormatting sqref="N39:AC39 AH39:AM39">
    <cfRule type="containsText" dxfId="4" priority="843" operator="containsText" text="BAJA">
      <formula>NOT(ISERROR(SEARCH(("BAJA"),(N39))))</formula>
    </cfRule>
  </conditionalFormatting>
  <conditionalFormatting sqref="N39:AC39 AH39:AM39">
    <cfRule type="containsText" dxfId="4" priority="844" operator="containsText" text="V A C A C I O N E S">
      <formula>NOT(ISERROR(SEARCH(("V A C A C I O N E S"),(N39))))</formula>
    </cfRule>
  </conditionalFormatting>
  <conditionalFormatting sqref="N39:AC39 AH39:AM39">
    <cfRule type="containsText" dxfId="4" priority="845" operator="containsText" text="Vacaciones">
      <formula>NOT(ISERROR(SEARCH(("Vacaciones"),(N39))))</formula>
    </cfRule>
  </conditionalFormatting>
  <conditionalFormatting sqref="N39:AC39 AH39:AM39">
    <cfRule type="containsText" dxfId="6" priority="846" operator="containsText" text="JuB">
      <formula>NOT(ISERROR(SEARCH(("JuB"),(N39))))</formula>
    </cfRule>
  </conditionalFormatting>
  <conditionalFormatting sqref="N39:AC39 AH39:AM39">
    <cfRule type="containsText" dxfId="6" priority="847" operator="containsText" text="JuC">
      <formula>NOT(ISERROR(SEARCH(("JuC"),(N39))))</formula>
    </cfRule>
  </conditionalFormatting>
  <conditionalFormatting sqref="N39:AC39 AH39:AM39">
    <cfRule type="containsText" dxfId="5" priority="848" operator="containsText" text="AP">
      <formula>NOT(ISERROR(SEARCH(("AP"),(N39))))</formula>
    </cfRule>
  </conditionalFormatting>
  <conditionalFormatting sqref="N39:AC39 AH39:AM39">
    <cfRule type="containsText" dxfId="6" priority="849" operator="containsText" text="Ts">
      <formula>NOT(ISERROR(SEARCH(("Ts"),(N39))))</formula>
    </cfRule>
  </conditionalFormatting>
  <conditionalFormatting sqref="N39:AC39 AH39:AM39">
    <cfRule type="containsText" dxfId="7" priority="850" operator="containsText" text="D">
      <formula>NOT(ISERROR(SEARCH(("D"),(N39))))</formula>
    </cfRule>
  </conditionalFormatting>
  <conditionalFormatting sqref="N39:AC39 AH39:AM39">
    <cfRule type="containsText" dxfId="8" priority="851" operator="containsText" text="3">
      <formula>NOT(ISERROR(SEARCH(("3"),(N39))))</formula>
    </cfRule>
  </conditionalFormatting>
  <conditionalFormatting sqref="N39:AC39 AH39:AM39">
    <cfRule type="containsText" dxfId="9" priority="852" operator="containsText" text="2">
      <formula>NOT(ISERROR(SEARCH(("2"),(N39))))</formula>
    </cfRule>
  </conditionalFormatting>
  <conditionalFormatting sqref="N39:AC39 AH39:AM39">
    <cfRule type="containsText" dxfId="10" priority="853" operator="containsText" text="1">
      <formula>NOT(ISERROR(SEARCH(("1"),(N39))))</formula>
    </cfRule>
  </conditionalFormatting>
  <conditionalFormatting sqref="N39:AC39 AH39:AM39">
    <cfRule type="containsText" dxfId="10" priority="854" operator="containsText" text="L">
      <formula>NOT(ISERROR(SEARCH(("L"),(N39))))</formula>
    </cfRule>
  </conditionalFormatting>
  <conditionalFormatting sqref="N39:AC39 N40:AM40 AH39:AM39">
    <cfRule type="containsText" dxfId="12" priority="855" operator="containsText" text="ex">
      <formula>NOT(ISERROR(SEARCH(("ex"),(N39))))</formula>
    </cfRule>
  </conditionalFormatting>
  <conditionalFormatting sqref="N39:AC39 N40:AM40 AH39:AM39">
    <cfRule type="containsText" dxfId="6" priority="856" operator="containsText" text="curso">
      <formula>NOT(ISERROR(SEARCH(("curso"),(N39))))</formula>
    </cfRule>
  </conditionalFormatting>
  <conditionalFormatting sqref="N39:AC39 N40:AM40 AH39:AM39">
    <cfRule type="containsText" dxfId="13" priority="857" operator="containsText" text="indisp">
      <formula>NOT(ISERROR(SEARCH(("indisp"),(N39))))</formula>
    </cfRule>
  </conditionalFormatting>
  <conditionalFormatting sqref="N39:AC39 N40:AM40 AH39:AM39">
    <cfRule type="containsText" dxfId="4" priority="858" operator="containsText" text="B A J A">
      <formula>NOT(ISERROR(SEARCH(("B A J A"),(N39))))</formula>
    </cfRule>
  </conditionalFormatting>
  <conditionalFormatting sqref="N39:AC39 N40:AM40 AH39:AM39">
    <cfRule type="containsText" dxfId="4" priority="859" operator="containsText" text="BAJA">
      <formula>NOT(ISERROR(SEARCH(("BAJA"),(N39))))</formula>
    </cfRule>
  </conditionalFormatting>
  <conditionalFormatting sqref="N39:AC39 N40:AM40 AH39:AM39">
    <cfRule type="containsText" dxfId="4" priority="860" operator="containsText" text="V A C A C I O N E S">
      <formula>NOT(ISERROR(SEARCH(("V A C A C I O N E S"),(N39))))</formula>
    </cfRule>
  </conditionalFormatting>
  <conditionalFormatting sqref="N39:AC39 N40:AM40 AH39:AM39">
    <cfRule type="containsText" dxfId="4" priority="861" operator="containsText" text="Vacaciones">
      <formula>NOT(ISERROR(SEARCH(("Vacaciones"),(N39))))</formula>
    </cfRule>
  </conditionalFormatting>
  <conditionalFormatting sqref="N39:AC39 N40:AM40 AH39:AM39">
    <cfRule type="containsText" dxfId="6" priority="862" operator="containsText" text="JuB">
      <formula>NOT(ISERROR(SEARCH(("JuB"),(N39))))</formula>
    </cfRule>
  </conditionalFormatting>
  <conditionalFormatting sqref="N39:AC39 N40:AM40 AH39:AM39">
    <cfRule type="containsText" dxfId="6" priority="863" operator="containsText" text="JuC">
      <formula>NOT(ISERROR(SEARCH(("JuC"),(N39))))</formula>
    </cfRule>
  </conditionalFormatting>
  <conditionalFormatting sqref="N39:AC39 N40:AM40 AH39:AM39">
    <cfRule type="containsText" dxfId="5" priority="864" operator="containsText" text="AP">
      <formula>NOT(ISERROR(SEARCH(("AP"),(N39))))</formula>
    </cfRule>
  </conditionalFormatting>
  <conditionalFormatting sqref="N39:AC39 N40:AM40 AH39:AM39">
    <cfRule type="containsText" dxfId="6" priority="865" operator="containsText" text="Ts">
      <formula>NOT(ISERROR(SEARCH(("Ts"),(N39))))</formula>
    </cfRule>
  </conditionalFormatting>
  <conditionalFormatting sqref="N41:AM41">
    <cfRule type="containsText" dxfId="12" priority="866" operator="containsText" text="ex">
      <formula>NOT(ISERROR(SEARCH(("ex"),(N41))))</formula>
    </cfRule>
  </conditionalFormatting>
  <conditionalFormatting sqref="N41:AM41">
    <cfRule type="containsText" dxfId="6" priority="867" operator="containsText" text="curso">
      <formula>NOT(ISERROR(SEARCH(("curso"),(N41))))</formula>
    </cfRule>
  </conditionalFormatting>
  <conditionalFormatting sqref="N41:AM41">
    <cfRule type="containsText" dxfId="13" priority="868" operator="containsText" text="indisp">
      <formula>NOT(ISERROR(SEARCH(("indisp"),(N41))))</formula>
    </cfRule>
  </conditionalFormatting>
  <conditionalFormatting sqref="N41:AM41">
    <cfRule type="containsText" dxfId="4" priority="869" operator="containsText" text="B A J A">
      <formula>NOT(ISERROR(SEARCH(("B A J A"),(N41))))</formula>
    </cfRule>
  </conditionalFormatting>
  <conditionalFormatting sqref="N41:AM41">
    <cfRule type="containsText" dxfId="4" priority="870" operator="containsText" text="BAJA">
      <formula>NOT(ISERROR(SEARCH(("BAJA"),(N41))))</formula>
    </cfRule>
  </conditionalFormatting>
  <conditionalFormatting sqref="N41:AM41">
    <cfRule type="containsText" dxfId="4" priority="871" operator="containsText" text="V A C A C I O N E S">
      <formula>NOT(ISERROR(SEARCH(("V A C A C I O N E S"),(N41))))</formula>
    </cfRule>
  </conditionalFormatting>
  <conditionalFormatting sqref="N41:AM41">
    <cfRule type="containsText" dxfId="4" priority="872" operator="containsText" text="Vacaciones">
      <formula>NOT(ISERROR(SEARCH(("Vacaciones"),(N41))))</formula>
    </cfRule>
  </conditionalFormatting>
  <conditionalFormatting sqref="N41:AM41">
    <cfRule type="containsText" dxfId="6" priority="873" operator="containsText" text="JuB">
      <formula>NOT(ISERROR(SEARCH(("JuB"),(N41))))</formula>
    </cfRule>
  </conditionalFormatting>
  <conditionalFormatting sqref="N41:AM41">
    <cfRule type="containsText" dxfId="6" priority="874" operator="containsText" text="JuC">
      <formula>NOT(ISERROR(SEARCH(("JuC"),(N41))))</formula>
    </cfRule>
  </conditionalFormatting>
  <conditionalFormatting sqref="N41:AM41">
    <cfRule type="containsText" dxfId="5" priority="875" operator="containsText" text="AP">
      <formula>NOT(ISERROR(SEARCH(("AP"),(N41))))</formula>
    </cfRule>
  </conditionalFormatting>
  <conditionalFormatting sqref="N41:AM41">
    <cfRule type="containsText" dxfId="6" priority="876" operator="containsText" text="Ts">
      <formula>NOT(ISERROR(SEARCH(("Ts"),(N41))))</formula>
    </cfRule>
  </conditionalFormatting>
  <conditionalFormatting sqref="N41:AM41">
    <cfRule type="containsText" dxfId="7" priority="877" operator="containsText" text="D">
      <formula>NOT(ISERROR(SEARCH(("D"),(N41))))</formula>
    </cfRule>
  </conditionalFormatting>
  <conditionalFormatting sqref="N41:AM41">
    <cfRule type="containsText" dxfId="8" priority="878" operator="containsText" text="3">
      <formula>NOT(ISERROR(SEARCH(("3"),(N41))))</formula>
    </cfRule>
  </conditionalFormatting>
  <conditionalFormatting sqref="N41:AM41">
    <cfRule type="containsText" dxfId="9" priority="879" operator="containsText" text="2">
      <formula>NOT(ISERROR(SEARCH(("2"),(N41))))</formula>
    </cfRule>
  </conditionalFormatting>
  <conditionalFormatting sqref="N41:AM41">
    <cfRule type="containsText" dxfId="10" priority="880" operator="containsText" text="1">
      <formula>NOT(ISERROR(SEARCH(("1"),(N41))))</formula>
    </cfRule>
  </conditionalFormatting>
  <conditionalFormatting sqref="N41:AM41">
    <cfRule type="containsText" dxfId="10" priority="881" operator="containsText" text="L">
      <formula>NOT(ISERROR(SEARCH(("L"),(N41))))</formula>
    </cfRule>
  </conditionalFormatting>
  <conditionalFormatting sqref="N41:AM42">
    <cfRule type="containsText" dxfId="12" priority="882" operator="containsText" text="ex">
      <formula>NOT(ISERROR(SEARCH(("ex"),(N41))))</formula>
    </cfRule>
  </conditionalFormatting>
  <conditionalFormatting sqref="N41:AM42">
    <cfRule type="containsText" dxfId="6" priority="883" operator="containsText" text="curso">
      <formula>NOT(ISERROR(SEARCH(("curso"),(N41))))</formula>
    </cfRule>
  </conditionalFormatting>
  <conditionalFormatting sqref="N41:AM42">
    <cfRule type="containsText" dxfId="13" priority="884" operator="containsText" text="indisp">
      <formula>NOT(ISERROR(SEARCH(("indisp"),(N41))))</formula>
    </cfRule>
  </conditionalFormatting>
  <conditionalFormatting sqref="N41:AM42">
    <cfRule type="containsText" dxfId="4" priority="885" operator="containsText" text="B A J A">
      <formula>NOT(ISERROR(SEARCH(("B A J A"),(N41))))</formula>
    </cfRule>
  </conditionalFormatting>
  <conditionalFormatting sqref="N41:AM42">
    <cfRule type="containsText" dxfId="4" priority="886" operator="containsText" text="BAJA">
      <formula>NOT(ISERROR(SEARCH(("BAJA"),(N41))))</formula>
    </cfRule>
  </conditionalFormatting>
  <conditionalFormatting sqref="N41:AM42">
    <cfRule type="containsText" dxfId="4" priority="887" operator="containsText" text="V A C A C I O N E S">
      <formula>NOT(ISERROR(SEARCH(("V A C A C I O N E S"),(N41))))</formula>
    </cfRule>
  </conditionalFormatting>
  <conditionalFormatting sqref="N41:AM42">
    <cfRule type="containsText" dxfId="4" priority="888" operator="containsText" text="Vacaciones">
      <formula>NOT(ISERROR(SEARCH(("Vacaciones"),(N41))))</formula>
    </cfRule>
  </conditionalFormatting>
  <conditionalFormatting sqref="N41:AM42">
    <cfRule type="containsText" dxfId="6" priority="889" operator="containsText" text="JuB">
      <formula>NOT(ISERROR(SEARCH(("JuB"),(N41))))</formula>
    </cfRule>
  </conditionalFormatting>
  <conditionalFormatting sqref="N41:AM42">
    <cfRule type="containsText" dxfId="6" priority="890" operator="containsText" text="JuC">
      <formula>NOT(ISERROR(SEARCH(("JuC"),(N41))))</formula>
    </cfRule>
  </conditionalFormatting>
  <conditionalFormatting sqref="N41:AM42">
    <cfRule type="containsText" dxfId="5" priority="891" operator="containsText" text="AP">
      <formula>NOT(ISERROR(SEARCH(("AP"),(N41))))</formula>
    </cfRule>
  </conditionalFormatting>
  <conditionalFormatting sqref="N41:AM42">
    <cfRule type="containsText" dxfId="6" priority="892" operator="containsText" text="Ts">
      <formula>NOT(ISERROR(SEARCH(("Ts"),(N41))))</formula>
    </cfRule>
  </conditionalFormatting>
  <conditionalFormatting sqref="N43:AM43">
    <cfRule type="containsText" dxfId="12" priority="893" operator="containsText" text="ex">
      <formula>NOT(ISERROR(SEARCH(("ex"),(N43))))</formula>
    </cfRule>
  </conditionalFormatting>
  <conditionalFormatting sqref="N43:AM43">
    <cfRule type="containsText" dxfId="6" priority="894" operator="containsText" text="curso">
      <formula>NOT(ISERROR(SEARCH(("curso"),(N43))))</formula>
    </cfRule>
  </conditionalFormatting>
  <conditionalFormatting sqref="N43:AM43">
    <cfRule type="containsText" dxfId="13" priority="895" operator="containsText" text="indisp">
      <formula>NOT(ISERROR(SEARCH(("indisp"),(N43))))</formula>
    </cfRule>
  </conditionalFormatting>
  <conditionalFormatting sqref="N43:AM43">
    <cfRule type="containsText" dxfId="4" priority="896" operator="containsText" text="B A J A">
      <formula>NOT(ISERROR(SEARCH(("B A J A"),(N43))))</formula>
    </cfRule>
  </conditionalFormatting>
  <conditionalFormatting sqref="N43:AM43">
    <cfRule type="containsText" dxfId="4" priority="897" operator="containsText" text="BAJA">
      <formula>NOT(ISERROR(SEARCH(("BAJA"),(N43))))</formula>
    </cfRule>
  </conditionalFormatting>
  <conditionalFormatting sqref="N43:AM43">
    <cfRule type="containsText" dxfId="4" priority="898" operator="containsText" text="V A C A C I O N E S">
      <formula>NOT(ISERROR(SEARCH(("V A C A C I O N E S"),(N43))))</formula>
    </cfRule>
  </conditionalFormatting>
  <conditionalFormatting sqref="N43:AM43">
    <cfRule type="containsText" dxfId="4" priority="899" operator="containsText" text="Vacaciones">
      <formula>NOT(ISERROR(SEARCH(("Vacaciones"),(N43))))</formula>
    </cfRule>
  </conditionalFormatting>
  <conditionalFormatting sqref="N43:AM43">
    <cfRule type="containsText" dxfId="6" priority="900" operator="containsText" text="JuB">
      <formula>NOT(ISERROR(SEARCH(("JuB"),(N43))))</formula>
    </cfRule>
  </conditionalFormatting>
  <conditionalFormatting sqref="N43:AM43">
    <cfRule type="containsText" dxfId="6" priority="901" operator="containsText" text="JuC">
      <formula>NOT(ISERROR(SEARCH(("JuC"),(N43))))</formula>
    </cfRule>
  </conditionalFormatting>
  <conditionalFormatting sqref="N43:AM43">
    <cfRule type="containsText" dxfId="5" priority="902" operator="containsText" text="AP">
      <formula>NOT(ISERROR(SEARCH(("AP"),(N43))))</formula>
    </cfRule>
  </conditionalFormatting>
  <conditionalFormatting sqref="N43:AM43">
    <cfRule type="containsText" dxfId="6" priority="903" operator="containsText" text="Ts">
      <formula>NOT(ISERROR(SEARCH(("Ts"),(N43))))</formula>
    </cfRule>
  </conditionalFormatting>
  <conditionalFormatting sqref="N43:AM43">
    <cfRule type="containsText" dxfId="7" priority="904" operator="containsText" text="D">
      <formula>NOT(ISERROR(SEARCH(("D"),(N43))))</formula>
    </cfRule>
  </conditionalFormatting>
  <conditionalFormatting sqref="N43:AM43">
    <cfRule type="containsText" dxfId="8" priority="905" operator="containsText" text="3">
      <formula>NOT(ISERROR(SEARCH(("3"),(N43))))</formula>
    </cfRule>
  </conditionalFormatting>
  <conditionalFormatting sqref="N43:AM43">
    <cfRule type="containsText" dxfId="9" priority="906" operator="containsText" text="2">
      <formula>NOT(ISERROR(SEARCH(("2"),(N43))))</formula>
    </cfRule>
  </conditionalFormatting>
  <conditionalFormatting sqref="N43:AM43">
    <cfRule type="containsText" dxfId="10" priority="907" operator="containsText" text="1">
      <formula>NOT(ISERROR(SEARCH(("1"),(N43))))</formula>
    </cfRule>
  </conditionalFormatting>
  <conditionalFormatting sqref="N43:AM43">
    <cfRule type="containsText" dxfId="10" priority="908" operator="containsText" text="L">
      <formula>NOT(ISERROR(SEARCH(("L"),(N43))))</formula>
    </cfRule>
  </conditionalFormatting>
  <conditionalFormatting sqref="N43:AM44">
    <cfRule type="containsText" dxfId="12" priority="909" operator="containsText" text="ex">
      <formula>NOT(ISERROR(SEARCH(("ex"),(N43))))</formula>
    </cfRule>
  </conditionalFormatting>
  <conditionalFormatting sqref="N43:AM44">
    <cfRule type="containsText" dxfId="6" priority="910" operator="containsText" text="curso">
      <formula>NOT(ISERROR(SEARCH(("curso"),(N43))))</formula>
    </cfRule>
  </conditionalFormatting>
  <conditionalFormatting sqref="N43:AM44">
    <cfRule type="containsText" dxfId="13" priority="911" operator="containsText" text="indisp">
      <formula>NOT(ISERROR(SEARCH(("indisp"),(N43))))</formula>
    </cfRule>
  </conditionalFormatting>
  <conditionalFormatting sqref="N43:AM44">
    <cfRule type="containsText" dxfId="4" priority="912" operator="containsText" text="B A J A">
      <formula>NOT(ISERROR(SEARCH(("B A J A"),(N43))))</formula>
    </cfRule>
  </conditionalFormatting>
  <conditionalFormatting sqref="N43:AM44">
    <cfRule type="containsText" dxfId="4" priority="913" operator="containsText" text="BAJA">
      <formula>NOT(ISERROR(SEARCH(("BAJA"),(N43))))</formula>
    </cfRule>
  </conditionalFormatting>
  <conditionalFormatting sqref="N43:AM44">
    <cfRule type="containsText" dxfId="4" priority="914" operator="containsText" text="V A C A C I O N E S">
      <formula>NOT(ISERROR(SEARCH(("V A C A C I O N E S"),(N43))))</formula>
    </cfRule>
  </conditionalFormatting>
  <conditionalFormatting sqref="N43:AM44">
    <cfRule type="containsText" dxfId="4" priority="915" operator="containsText" text="Vacaciones">
      <formula>NOT(ISERROR(SEARCH(("Vacaciones"),(N43))))</formula>
    </cfRule>
  </conditionalFormatting>
  <conditionalFormatting sqref="N43:AM44">
    <cfRule type="containsText" dxfId="6" priority="916" operator="containsText" text="JuB">
      <formula>NOT(ISERROR(SEARCH(("JuB"),(N43))))</formula>
    </cfRule>
  </conditionalFormatting>
  <conditionalFormatting sqref="N43:AM44">
    <cfRule type="containsText" dxfId="6" priority="917" operator="containsText" text="JuC">
      <formula>NOT(ISERROR(SEARCH(("JuC"),(N43))))</formula>
    </cfRule>
  </conditionalFormatting>
  <conditionalFormatting sqref="N43:AM44">
    <cfRule type="containsText" dxfId="5" priority="918" operator="containsText" text="AP">
      <formula>NOT(ISERROR(SEARCH(("AP"),(N43))))</formula>
    </cfRule>
  </conditionalFormatting>
  <conditionalFormatting sqref="N43:AM44">
    <cfRule type="containsText" dxfId="6" priority="919" operator="containsText" text="Ts">
      <formula>NOT(ISERROR(SEARCH(("Ts"),(N43))))</formula>
    </cfRule>
  </conditionalFormatting>
  <conditionalFormatting sqref="N7:AN7 N9:AN9 N13:W13 N15:AM15 N17:AB17 N19:AM19 N21:AM21 N23:AM23 N25:AM25 N27:AM27 N31:AM31 AA13:AN13 AD17:AK17">
    <cfRule type="containsText" dxfId="9" priority="920" operator="containsText" text="2">
      <formula>NOT(ISERROR(SEARCH(("2"),(N7))))</formula>
    </cfRule>
  </conditionalFormatting>
  <conditionalFormatting sqref="N7:AN7 N9:AN9 N13:W13 N15:AM15 N17:AB17 N19:AM19 N21:AM21 N23:AM23 N25:AM25 N27:AM27 N31:AM31 AA13:AN13 AD17:AK17">
    <cfRule type="containsText" dxfId="10" priority="921" operator="containsText" text="1">
      <formula>NOT(ISERROR(SEARCH(("1"),(N7))))</formula>
    </cfRule>
  </conditionalFormatting>
  <conditionalFormatting sqref="N7:AN7 N9:AN9 N13:W13 N15:AM15 N17:AB17 N19:AM19 N21:AM21 N23:AM23 N25:AM25 N27:AM27 N31:AM31 AA13:AN13 AD17:AK17">
    <cfRule type="containsText" dxfId="10" priority="922" operator="containsText" text="L">
      <formula>NOT(ISERROR(SEARCH(("L"),(N7))))</formula>
    </cfRule>
  </conditionalFormatting>
  <conditionalFormatting sqref="N7:AN7 N9:AN9 N13:W13 N31:AM31 AA13:AN13">
    <cfRule type="containsText" dxfId="7" priority="923" operator="containsText" text="D">
      <formula>NOT(ISERROR(SEARCH(("D"),(N7))))</formula>
    </cfRule>
  </conditionalFormatting>
  <conditionalFormatting sqref="N7:AN7 N9:AN9 N13:W13 N31:AM31 AA13:AN13">
    <cfRule type="containsText" dxfId="8" priority="924" operator="containsText" text="3">
      <formula>NOT(ISERROR(SEARCH(("3"),(N7))))</formula>
    </cfRule>
  </conditionalFormatting>
  <conditionalFormatting sqref="N7:AN7">
    <cfRule type="containsText" dxfId="12" priority="925" operator="containsText" text="ex">
      <formula>NOT(ISERROR(SEARCH(("ex"),(N7))))</formula>
    </cfRule>
  </conditionalFormatting>
  <conditionalFormatting sqref="N7:AN7">
    <cfRule type="containsText" dxfId="6" priority="926" operator="containsText" text="curso">
      <formula>NOT(ISERROR(SEARCH(("curso"),(N7))))</formula>
    </cfRule>
  </conditionalFormatting>
  <conditionalFormatting sqref="N7:AN7">
    <cfRule type="containsText" dxfId="13" priority="927" operator="containsText" text="indisp">
      <formula>NOT(ISERROR(SEARCH(("indisp"),(N7))))</formula>
    </cfRule>
  </conditionalFormatting>
  <conditionalFormatting sqref="N7:AN7">
    <cfRule type="containsText" dxfId="4" priority="928" operator="containsText" text="B A J A">
      <formula>NOT(ISERROR(SEARCH(("B A J A"),(N7))))</formula>
    </cfRule>
  </conditionalFormatting>
  <conditionalFormatting sqref="N7:AN7">
    <cfRule type="containsText" dxfId="4" priority="929" operator="containsText" text="BAJA">
      <formula>NOT(ISERROR(SEARCH(("BAJA"),(N7))))</formula>
    </cfRule>
  </conditionalFormatting>
  <conditionalFormatting sqref="N7:AN7">
    <cfRule type="containsText" dxfId="4" priority="930" operator="containsText" text="V A C A C I O N E S">
      <formula>NOT(ISERROR(SEARCH(("V A C A C I O N E S"),(N7))))</formula>
    </cfRule>
  </conditionalFormatting>
  <conditionalFormatting sqref="N7:AN7">
    <cfRule type="containsText" dxfId="4" priority="931" operator="containsText" text="Vacaciones">
      <formula>NOT(ISERROR(SEARCH(("Vacaciones"),(N7))))</formula>
    </cfRule>
  </conditionalFormatting>
  <conditionalFormatting sqref="N7:AN7">
    <cfRule type="containsText" dxfId="6" priority="932" operator="containsText" text="JuB">
      <formula>NOT(ISERROR(SEARCH(("JuB"),(N7))))</formula>
    </cfRule>
  </conditionalFormatting>
  <conditionalFormatting sqref="N7:AN7">
    <cfRule type="containsText" dxfId="6" priority="933" operator="containsText" text="JuC">
      <formula>NOT(ISERROR(SEARCH(("JuC"),(N7))))</formula>
    </cfRule>
  </conditionalFormatting>
  <conditionalFormatting sqref="N7:AN7">
    <cfRule type="containsText" dxfId="5" priority="934" operator="containsText" text="AP">
      <formula>NOT(ISERROR(SEARCH(("AP"),(N7))))</formula>
    </cfRule>
  </conditionalFormatting>
  <conditionalFormatting sqref="N7:AN7">
    <cfRule type="containsText" dxfId="6" priority="935" operator="containsText" text="Ts">
      <formula>NOT(ISERROR(SEARCH(("Ts"),(N7))))</formula>
    </cfRule>
  </conditionalFormatting>
  <conditionalFormatting sqref="N15:AN15">
    <cfRule type="containsText" dxfId="7" priority="936" operator="containsText" text="D">
      <formula>NOT(ISERROR(SEARCH(("D"),(N15))))</formula>
    </cfRule>
  </conditionalFormatting>
  <conditionalFormatting sqref="N15:AN15">
    <cfRule type="containsText" dxfId="8" priority="937" operator="containsText" text="3">
      <formula>NOT(ISERROR(SEARCH(("3"),(N15))))</formula>
    </cfRule>
  </conditionalFormatting>
  <conditionalFormatting sqref="N17:AB17 AD17:AK17 AN17">
    <cfRule type="containsText" dxfId="7" priority="938" operator="containsText" text="D">
      <formula>NOT(ISERROR(SEARCH(("D"),(N17))))</formula>
    </cfRule>
  </conditionalFormatting>
  <conditionalFormatting sqref="N17:AB17 AD17:AK17 AN17">
    <cfRule type="containsText" dxfId="8" priority="939" operator="containsText" text="3">
      <formula>NOT(ISERROR(SEARCH(("3"),(N17))))</formula>
    </cfRule>
  </conditionalFormatting>
  <conditionalFormatting sqref="N19:AN19">
    <cfRule type="containsText" dxfId="7" priority="940" operator="containsText" text="D">
      <formula>NOT(ISERROR(SEARCH(("D"),(N19))))</formula>
    </cfRule>
  </conditionalFormatting>
  <conditionalFormatting sqref="N19:AN19">
    <cfRule type="containsText" dxfId="8" priority="941" operator="containsText" text="3">
      <formula>NOT(ISERROR(SEARCH(("3"),(N19))))</formula>
    </cfRule>
  </conditionalFormatting>
  <conditionalFormatting sqref="N21:AN21">
    <cfRule type="containsText" dxfId="7" priority="942" operator="containsText" text="D">
      <formula>NOT(ISERROR(SEARCH(("D"),(N21))))</formula>
    </cfRule>
  </conditionalFormatting>
  <conditionalFormatting sqref="N21:AN21">
    <cfRule type="containsText" dxfId="8" priority="943" operator="containsText" text="3">
      <formula>NOT(ISERROR(SEARCH(("3"),(N21))))</formula>
    </cfRule>
  </conditionalFormatting>
  <conditionalFormatting sqref="N23:AN23">
    <cfRule type="containsText" dxfId="7" priority="944" operator="containsText" text="D">
      <formula>NOT(ISERROR(SEARCH(("D"),(N23))))</formula>
    </cfRule>
  </conditionalFormatting>
  <conditionalFormatting sqref="N23:AN23">
    <cfRule type="containsText" dxfId="8" priority="945" operator="containsText" text="3">
      <formula>NOT(ISERROR(SEARCH(("3"),(N23))))</formula>
    </cfRule>
  </conditionalFormatting>
  <conditionalFormatting sqref="N25:AN25">
    <cfRule type="containsText" dxfId="7" priority="946" operator="containsText" text="D">
      <formula>NOT(ISERROR(SEARCH(("D"),(N25))))</formula>
    </cfRule>
  </conditionalFormatting>
  <conditionalFormatting sqref="N25:AN25">
    <cfRule type="containsText" dxfId="8" priority="947" operator="containsText" text="3">
      <formula>NOT(ISERROR(SEARCH(("3"),(N25))))</formula>
    </cfRule>
  </conditionalFormatting>
  <conditionalFormatting sqref="N27:AN27">
    <cfRule type="containsText" dxfId="7" priority="948" operator="containsText" text="D">
      <formula>NOT(ISERROR(SEARCH(("D"),(N27))))</formula>
    </cfRule>
  </conditionalFormatting>
  <conditionalFormatting sqref="N27:AN27">
    <cfRule type="containsText" dxfId="8" priority="949" operator="containsText" text="3">
      <formula>NOT(ISERROR(SEARCH(("3"),(N27))))</formula>
    </cfRule>
  </conditionalFormatting>
  <conditionalFormatting sqref="Q49">
    <cfRule type="cellIs" dxfId="3" priority="950" operator="greaterThanOrEqual">
      <formula>3</formula>
    </cfRule>
  </conditionalFormatting>
  <conditionalFormatting sqref="Q49">
    <cfRule type="cellIs" dxfId="2" priority="951" operator="lessThan">
      <formula>3</formula>
    </cfRule>
  </conditionalFormatting>
  <conditionalFormatting sqref="R49">
    <cfRule type="cellIs" dxfId="2" priority="952" operator="lessThan">
      <formula>4</formula>
    </cfRule>
  </conditionalFormatting>
  <conditionalFormatting sqref="R49">
    <cfRule type="cellIs" dxfId="3" priority="953" operator="greaterThanOrEqual">
      <formula>4</formula>
    </cfRule>
  </conditionalFormatting>
  <conditionalFormatting sqref="X47">
    <cfRule type="cellIs" dxfId="3" priority="954" operator="greaterThanOrEqual">
      <formula>3</formula>
    </cfRule>
  </conditionalFormatting>
  <conditionalFormatting sqref="X47">
    <cfRule type="cellIs" dxfId="2" priority="955" operator="lessThan">
      <formula>3</formula>
    </cfRule>
  </conditionalFormatting>
  <conditionalFormatting sqref="X49">
    <cfRule type="cellIs" dxfId="3" priority="956" operator="greaterThanOrEqual">
      <formula>3</formula>
    </cfRule>
  </conditionalFormatting>
  <conditionalFormatting sqref="X49">
    <cfRule type="cellIs" dxfId="2" priority="957" operator="lessThan">
      <formula>3</formula>
    </cfRule>
  </conditionalFormatting>
  <conditionalFormatting sqref="Y49">
    <cfRule type="cellIs" dxfId="2" priority="958" operator="lessThan">
      <formula>4</formula>
    </cfRule>
  </conditionalFormatting>
  <conditionalFormatting sqref="Y49">
    <cfRule type="cellIs" dxfId="3" priority="959" operator="greaterThanOrEqual">
      <formula>4</formula>
    </cfRule>
  </conditionalFormatting>
  <conditionalFormatting sqref="AE49">
    <cfRule type="cellIs" dxfId="3" priority="960" operator="greaterThanOrEqual">
      <formula>3</formula>
    </cfRule>
  </conditionalFormatting>
  <conditionalFormatting sqref="AE49">
    <cfRule type="cellIs" dxfId="2" priority="961" operator="lessThan">
      <formula>3</formula>
    </cfRule>
  </conditionalFormatting>
  <conditionalFormatting sqref="AF49">
    <cfRule type="cellIs" dxfId="2" priority="962" operator="lessThan">
      <formula>4</formula>
    </cfRule>
  </conditionalFormatting>
  <conditionalFormatting sqref="AF49">
    <cfRule type="cellIs" dxfId="3" priority="963" operator="greaterThanOrEqual">
      <formula>4</formula>
    </cfRule>
  </conditionalFormatting>
  <conditionalFormatting sqref="AM49">
    <cfRule type="cellIs" dxfId="3" priority="964" operator="greaterThanOrEqual">
      <formula>3</formula>
    </cfRule>
  </conditionalFormatting>
  <conditionalFormatting sqref="AM49">
    <cfRule type="cellIs" dxfId="2" priority="965" operator="lessThan">
      <formula>3</formula>
    </cfRule>
  </conditionalFormatting>
  <conditionalFormatting sqref="AN5">
    <cfRule type="containsText" dxfId="7" priority="966" operator="containsText" text="D">
      <formula>NOT(ISERROR(SEARCH(("D"),(AN5))))</formula>
    </cfRule>
  </conditionalFormatting>
  <conditionalFormatting sqref="AN5">
    <cfRule type="containsText" dxfId="10" priority="967" operator="containsText" text="L">
      <formula>NOT(ISERROR(SEARCH(("L"),(AN5))))</formula>
    </cfRule>
  </conditionalFormatting>
  <conditionalFormatting sqref="AN9 AN11 AN13 AN15 AN17 AN19 AN21 AN23 AN25 AN27">
    <cfRule type="containsText" dxfId="4" priority="968" operator="containsText" text="B A J A">
      <formula>NOT(ISERROR(SEARCH(("B A J A"),(AN9))))</formula>
    </cfRule>
  </conditionalFormatting>
  <conditionalFormatting sqref="AN9 AN11 AN13 AN15 AN17 AN19 AN21 AN23 AN25 AN27">
    <cfRule type="containsText" dxfId="4" priority="969" operator="containsText" text="BAJA">
      <formula>NOT(ISERROR(SEARCH(("BAJA"),(AN9))))</formula>
    </cfRule>
  </conditionalFormatting>
  <conditionalFormatting sqref="AN9 AN11 AN13 AN15 AN17 AN19 AN21 AN23 AN25 AN27">
    <cfRule type="containsText" dxfId="4" priority="970" operator="containsText" text="V A C A C I O N E S">
      <formula>NOT(ISERROR(SEARCH(("V A C A C I O N E S"),(AN9))))</formula>
    </cfRule>
  </conditionalFormatting>
  <conditionalFormatting sqref="AN9 AN11 AN13 AN15 AN17 AN19 AN21 AN23 AN25 AN27">
    <cfRule type="containsText" dxfId="4" priority="971" operator="containsText" text="Vacaciones">
      <formula>NOT(ISERROR(SEARCH(("Vacaciones"),(AN9))))</formula>
    </cfRule>
  </conditionalFormatting>
  <conditionalFormatting sqref="AN9 AN11 AN13 AN15 AN17 AN19 AN21 AN23 AN25 AN27">
    <cfRule type="containsText" dxfId="6" priority="972" operator="containsText" text="JuB">
      <formula>NOT(ISERROR(SEARCH(("JuB"),(AN9))))</formula>
    </cfRule>
  </conditionalFormatting>
  <conditionalFormatting sqref="AN9 AN11 AN13 AN15 AN17 AN19 AN21 AN23 AN25 AN27">
    <cfRule type="containsText" dxfId="6" priority="973" operator="containsText" text="JuC">
      <formula>NOT(ISERROR(SEARCH(("JuC"),(AN9))))</formula>
    </cfRule>
  </conditionalFormatting>
  <conditionalFormatting sqref="AN9 AN11 AN13 AN15 AN17 AN19 AN21 AN23 AN25 AN27">
    <cfRule type="containsText" dxfId="5" priority="974" operator="containsText" text="AP">
      <formula>NOT(ISERROR(SEARCH(("AP"),(AN9))))</formula>
    </cfRule>
  </conditionalFormatting>
  <conditionalFormatting sqref="AN9 AN11 AN13 AN15 AN17 AN19 AN21 AN23 AN25 AN27">
    <cfRule type="containsText" dxfId="6" priority="975" operator="containsText" text="Ts">
      <formula>NOT(ISERROR(SEARCH(("Ts"),(AN9))))</formula>
    </cfRule>
  </conditionalFormatting>
  <conditionalFormatting sqref="AN9 AN11 AN13 AN15 AN17 AN19 AN21 AN23 AN25 AN27">
    <cfRule type="containsText" dxfId="13" priority="976" operator="containsText" text="indisp">
      <formula>NOT(ISERROR(SEARCH(("indisp"),(AN9))))</formula>
    </cfRule>
  </conditionalFormatting>
  <conditionalFormatting sqref="AN9 AN13 AN15 AN17 AN19 AN21 AN23 AN25 AN27">
    <cfRule type="containsText" dxfId="12" priority="977" operator="containsText" text="ex">
      <formula>NOT(ISERROR(SEARCH(("ex"),(AN9))))</formula>
    </cfRule>
  </conditionalFormatting>
  <conditionalFormatting sqref="AN9 AN13 AN15 AN17 AN19 AN21 AN23 AN25 AN27">
    <cfRule type="containsText" dxfId="6" priority="978" operator="containsText" text="curso">
      <formula>NOT(ISERROR(SEARCH(("curso"),(AN9))))</formula>
    </cfRule>
  </conditionalFormatting>
  <conditionalFormatting sqref="AN11">
    <cfRule type="containsText" dxfId="12" priority="979" operator="containsText" text="ex">
      <formula>NOT(ISERROR(SEARCH(("ex"),(AN11))))</formula>
    </cfRule>
  </conditionalFormatting>
  <conditionalFormatting sqref="AN11">
    <cfRule type="containsText" dxfId="6" priority="980" operator="containsText" text="curso">
      <formula>NOT(ISERROR(SEARCH(("curso"),(AN11))))</formula>
    </cfRule>
  </conditionalFormatting>
  <conditionalFormatting sqref="AN11">
    <cfRule type="containsText" dxfId="7" priority="981" operator="containsText" text="D">
      <formula>NOT(ISERROR(SEARCH(("D"),(AN11))))</formula>
    </cfRule>
  </conditionalFormatting>
  <conditionalFormatting sqref="AN11">
    <cfRule type="containsText" dxfId="8" priority="982" operator="containsText" text="3">
      <formula>NOT(ISERROR(SEARCH(("3"),(AN11))))</formula>
    </cfRule>
  </conditionalFormatting>
  <conditionalFormatting sqref="AN11">
    <cfRule type="containsText" dxfId="9" priority="983" operator="containsText" text="2">
      <formula>NOT(ISERROR(SEARCH(("2"),(AN11))))</formula>
    </cfRule>
  </conditionalFormatting>
  <conditionalFormatting sqref="AN11">
    <cfRule type="containsText" dxfId="10" priority="984" operator="containsText" text="1">
      <formula>NOT(ISERROR(SEARCH(("1"),(AN11))))</formula>
    </cfRule>
  </conditionalFormatting>
  <conditionalFormatting sqref="AN11">
    <cfRule type="containsText" dxfId="10" priority="985" operator="containsText" text="L">
      <formula>NOT(ISERROR(SEARCH(("L"),(AN11))))</formula>
    </cfRule>
  </conditionalFormatting>
  <conditionalFormatting sqref="AN15">
    <cfRule type="containsText" dxfId="9" priority="986" operator="containsText" text="2">
      <formula>NOT(ISERROR(SEARCH(("2"),(AN15))))</formula>
    </cfRule>
  </conditionalFormatting>
  <conditionalFormatting sqref="AN15">
    <cfRule type="containsText" dxfId="10" priority="987" operator="containsText" text="1">
      <formula>NOT(ISERROR(SEARCH(("1"),(AN15))))</formula>
    </cfRule>
  </conditionalFormatting>
  <conditionalFormatting sqref="AN15">
    <cfRule type="containsText" dxfId="10" priority="988" operator="containsText" text="L">
      <formula>NOT(ISERROR(SEARCH(("L"),(AN15))))</formula>
    </cfRule>
  </conditionalFormatting>
  <conditionalFormatting sqref="AN17">
    <cfRule type="containsText" dxfId="9" priority="989" operator="containsText" text="2">
      <formula>NOT(ISERROR(SEARCH(("2"),(AN17))))</formula>
    </cfRule>
  </conditionalFormatting>
  <conditionalFormatting sqref="AN17">
    <cfRule type="containsText" dxfId="10" priority="990" operator="containsText" text="1">
      <formula>NOT(ISERROR(SEARCH(("1"),(AN17))))</formula>
    </cfRule>
  </conditionalFormatting>
  <conditionalFormatting sqref="AN17">
    <cfRule type="containsText" dxfId="10" priority="991" operator="containsText" text="L">
      <formula>NOT(ISERROR(SEARCH(("L"),(AN17))))</formula>
    </cfRule>
  </conditionalFormatting>
  <conditionalFormatting sqref="AN19">
    <cfRule type="containsText" dxfId="9" priority="992" operator="containsText" text="2">
      <formula>NOT(ISERROR(SEARCH(("2"),(AN19))))</formula>
    </cfRule>
  </conditionalFormatting>
  <conditionalFormatting sqref="AN19">
    <cfRule type="containsText" dxfId="10" priority="993" operator="containsText" text="1">
      <formula>NOT(ISERROR(SEARCH(("1"),(AN19))))</formula>
    </cfRule>
  </conditionalFormatting>
  <conditionalFormatting sqref="AN19">
    <cfRule type="containsText" dxfId="10" priority="994" operator="containsText" text="L">
      <formula>NOT(ISERROR(SEARCH(("L"),(AN19))))</formula>
    </cfRule>
  </conditionalFormatting>
  <conditionalFormatting sqref="AN21">
    <cfRule type="containsText" dxfId="9" priority="995" operator="containsText" text="2">
      <formula>NOT(ISERROR(SEARCH(("2"),(AN21))))</formula>
    </cfRule>
  </conditionalFormatting>
  <conditionalFormatting sqref="AN21">
    <cfRule type="containsText" dxfId="10" priority="996" operator="containsText" text="1">
      <formula>NOT(ISERROR(SEARCH(("1"),(AN21))))</formula>
    </cfRule>
  </conditionalFormatting>
  <conditionalFormatting sqref="AN21">
    <cfRule type="containsText" dxfId="10" priority="997" operator="containsText" text="L">
      <formula>NOT(ISERROR(SEARCH(("L"),(AN21))))</formula>
    </cfRule>
  </conditionalFormatting>
  <conditionalFormatting sqref="AN23">
    <cfRule type="containsText" dxfId="9" priority="998" operator="containsText" text="2">
      <formula>NOT(ISERROR(SEARCH(("2"),(AN23))))</formula>
    </cfRule>
  </conditionalFormatting>
  <conditionalFormatting sqref="AN23">
    <cfRule type="containsText" dxfId="10" priority="999" operator="containsText" text="1">
      <formula>NOT(ISERROR(SEARCH(("1"),(AN23))))</formula>
    </cfRule>
  </conditionalFormatting>
  <conditionalFormatting sqref="AN23">
    <cfRule type="containsText" dxfId="10" priority="1000" operator="containsText" text="L">
      <formula>NOT(ISERROR(SEARCH(("L"),(AN23))))</formula>
    </cfRule>
  </conditionalFormatting>
  <conditionalFormatting sqref="AN25">
    <cfRule type="containsText" dxfId="9" priority="1001" operator="containsText" text="2">
      <formula>NOT(ISERROR(SEARCH(("2"),(AN25))))</formula>
    </cfRule>
  </conditionalFormatting>
  <conditionalFormatting sqref="AN25">
    <cfRule type="containsText" dxfId="10" priority="1002" operator="containsText" text="1">
      <formula>NOT(ISERROR(SEARCH(("1"),(AN25))))</formula>
    </cfRule>
  </conditionalFormatting>
  <conditionalFormatting sqref="AN25">
    <cfRule type="containsText" dxfId="10" priority="1003" operator="containsText" text="L">
      <formula>NOT(ISERROR(SEARCH(("L"),(AN25))))</formula>
    </cfRule>
  </conditionalFormatting>
  <conditionalFormatting sqref="AN27">
    <cfRule type="containsText" dxfId="9" priority="1004" operator="containsText" text="2">
      <formula>NOT(ISERROR(SEARCH(("2"),(AN27))))</formula>
    </cfRule>
  </conditionalFormatting>
  <conditionalFormatting sqref="AN27">
    <cfRule type="containsText" dxfId="10" priority="1005" operator="containsText" text="1">
      <formula>NOT(ISERROR(SEARCH(("1"),(AN27))))</formula>
    </cfRule>
  </conditionalFormatting>
  <conditionalFormatting sqref="AN27">
    <cfRule type="containsText" dxfId="10" priority="1006" operator="containsText" text="L">
      <formula>NOT(ISERROR(SEARCH(("L"),(AN27))))</formula>
    </cfRule>
  </conditionalFormatting>
  <conditionalFormatting sqref="AN29">
    <cfRule type="containsText" dxfId="12" priority="1007" operator="containsText" text="ex">
      <formula>NOT(ISERROR(SEARCH(("ex"),(AN29))))</formula>
    </cfRule>
  </conditionalFormatting>
  <conditionalFormatting sqref="AN29">
    <cfRule type="containsText" dxfId="6" priority="1008" operator="containsText" text="curso">
      <formula>NOT(ISERROR(SEARCH(("curso"),(AN29))))</formula>
    </cfRule>
  </conditionalFormatting>
  <conditionalFormatting sqref="AN29">
    <cfRule type="containsText" dxfId="13" priority="1009" operator="containsText" text="indisp">
      <formula>NOT(ISERROR(SEARCH(("indisp"),(AN29))))</formula>
    </cfRule>
  </conditionalFormatting>
  <conditionalFormatting sqref="AN29">
    <cfRule type="containsText" dxfId="4" priority="1010" operator="containsText" text="B A J A">
      <formula>NOT(ISERROR(SEARCH(("B A J A"),(AN29))))</formula>
    </cfRule>
  </conditionalFormatting>
  <conditionalFormatting sqref="AN29">
    <cfRule type="containsText" dxfId="4" priority="1011" operator="containsText" text="BAJA">
      <formula>NOT(ISERROR(SEARCH(("BAJA"),(AN29))))</formula>
    </cfRule>
  </conditionalFormatting>
  <conditionalFormatting sqref="AN29">
    <cfRule type="containsText" dxfId="4" priority="1012" operator="containsText" text="V A C A C I O N E S">
      <formula>NOT(ISERROR(SEARCH(("V A C A C I O N E S"),(AN29))))</formula>
    </cfRule>
  </conditionalFormatting>
  <conditionalFormatting sqref="AN29">
    <cfRule type="containsText" dxfId="4" priority="1013" operator="containsText" text="Vacaciones">
      <formula>NOT(ISERROR(SEARCH(("Vacaciones"),(AN29))))</formula>
    </cfRule>
  </conditionalFormatting>
  <conditionalFormatting sqref="AN29">
    <cfRule type="containsText" dxfId="6" priority="1014" operator="containsText" text="JuB">
      <formula>NOT(ISERROR(SEARCH(("JuB"),(AN29))))</formula>
    </cfRule>
  </conditionalFormatting>
  <conditionalFormatting sqref="AN29">
    <cfRule type="containsText" dxfId="6" priority="1015" operator="containsText" text="JuC">
      <formula>NOT(ISERROR(SEARCH(("JuC"),(AN29))))</formula>
    </cfRule>
  </conditionalFormatting>
  <conditionalFormatting sqref="AN29">
    <cfRule type="containsText" dxfId="5" priority="1016" operator="containsText" text="AP">
      <formula>NOT(ISERROR(SEARCH(("AP"),(AN29))))</formula>
    </cfRule>
  </conditionalFormatting>
  <conditionalFormatting sqref="AN29">
    <cfRule type="containsText" dxfId="6" priority="1017" operator="containsText" text="Ts">
      <formula>NOT(ISERROR(SEARCH(("Ts"),(AN29))))</formula>
    </cfRule>
  </conditionalFormatting>
  <conditionalFormatting sqref="AN29">
    <cfRule type="containsText" dxfId="7" priority="1018" operator="containsText" text="D">
      <formula>NOT(ISERROR(SEARCH(("D"),(AN29))))</formula>
    </cfRule>
  </conditionalFormatting>
  <conditionalFormatting sqref="AN29">
    <cfRule type="containsText" dxfId="8" priority="1019" operator="containsText" text="3">
      <formula>NOT(ISERROR(SEARCH(("3"),(AN29))))</formula>
    </cfRule>
  </conditionalFormatting>
  <conditionalFormatting sqref="AN29">
    <cfRule type="containsText" dxfId="9" priority="1020" operator="containsText" text="2">
      <formula>NOT(ISERROR(SEARCH(("2"),(AN29))))</formula>
    </cfRule>
  </conditionalFormatting>
  <conditionalFormatting sqref="AN29">
    <cfRule type="containsText" dxfId="10" priority="1021" operator="containsText" text="1">
      <formula>NOT(ISERROR(SEARCH(("1"),(AN29))))</formula>
    </cfRule>
  </conditionalFormatting>
  <conditionalFormatting sqref="AN29">
    <cfRule type="containsText" dxfId="10" priority="1022" operator="containsText" text="L">
      <formula>NOT(ISERROR(SEARCH(("L"),(AN29))))</formula>
    </cfRule>
  </conditionalFormatting>
  <conditionalFormatting sqref="AN39">
    <cfRule type="containsText" dxfId="12" priority="1023" operator="containsText" text="ex">
      <formula>NOT(ISERROR(SEARCH(("ex"),(AN39))))</formula>
    </cfRule>
  </conditionalFormatting>
  <conditionalFormatting sqref="AN39">
    <cfRule type="containsText" dxfId="6" priority="1024" operator="containsText" text="curso">
      <formula>NOT(ISERROR(SEARCH(("curso"),(AN39))))</formula>
    </cfRule>
  </conditionalFormatting>
  <conditionalFormatting sqref="AN39">
    <cfRule type="containsText" dxfId="13" priority="1025" operator="containsText" text="indisp">
      <formula>NOT(ISERROR(SEARCH(("indisp"),(AN39))))</formula>
    </cfRule>
  </conditionalFormatting>
  <conditionalFormatting sqref="AN39">
    <cfRule type="containsText" dxfId="4" priority="1026" operator="containsText" text="B A J A">
      <formula>NOT(ISERROR(SEARCH(("B A J A"),(AN39))))</formula>
    </cfRule>
  </conditionalFormatting>
  <conditionalFormatting sqref="AN39">
    <cfRule type="containsText" dxfId="4" priority="1027" operator="containsText" text="BAJA">
      <formula>NOT(ISERROR(SEARCH(("BAJA"),(AN39))))</formula>
    </cfRule>
  </conditionalFormatting>
  <conditionalFormatting sqref="AN39">
    <cfRule type="containsText" dxfId="4" priority="1028" operator="containsText" text="V A C A C I O N E S">
      <formula>NOT(ISERROR(SEARCH(("V A C A C I O N E S"),(AN39))))</formula>
    </cfRule>
  </conditionalFormatting>
  <conditionalFormatting sqref="AN39">
    <cfRule type="containsText" dxfId="4" priority="1029" operator="containsText" text="Vacaciones">
      <formula>NOT(ISERROR(SEARCH(("Vacaciones"),(AN39))))</formula>
    </cfRule>
  </conditionalFormatting>
  <conditionalFormatting sqref="AN39">
    <cfRule type="containsText" dxfId="6" priority="1030" operator="containsText" text="JuB">
      <formula>NOT(ISERROR(SEARCH(("JuB"),(AN39))))</formula>
    </cfRule>
  </conditionalFormatting>
  <conditionalFormatting sqref="AN39">
    <cfRule type="containsText" dxfId="6" priority="1031" operator="containsText" text="JuC">
      <formula>NOT(ISERROR(SEARCH(("JuC"),(AN39))))</formula>
    </cfRule>
  </conditionalFormatting>
  <conditionalFormatting sqref="AN39">
    <cfRule type="containsText" dxfId="5" priority="1032" operator="containsText" text="AP">
      <formula>NOT(ISERROR(SEARCH(("AP"),(AN39))))</formula>
    </cfRule>
  </conditionalFormatting>
  <conditionalFormatting sqref="AN39">
    <cfRule type="containsText" dxfId="6" priority="1033" operator="containsText" text="Ts">
      <formula>NOT(ISERROR(SEARCH(("Ts"),(AN39))))</formula>
    </cfRule>
  </conditionalFormatting>
  <conditionalFormatting sqref="AN39">
    <cfRule type="containsText" dxfId="7" priority="1034" operator="containsText" text="D">
      <formula>NOT(ISERROR(SEARCH(("D"),(AN39))))</formula>
    </cfRule>
  </conditionalFormatting>
  <conditionalFormatting sqref="AN39">
    <cfRule type="containsText" dxfId="8" priority="1035" operator="containsText" text="3">
      <formula>NOT(ISERROR(SEARCH(("3"),(AN39))))</formula>
    </cfRule>
  </conditionalFormatting>
  <conditionalFormatting sqref="AN39">
    <cfRule type="containsText" dxfId="9" priority="1036" operator="containsText" text="2">
      <formula>NOT(ISERROR(SEARCH(("2"),(AN39))))</formula>
    </cfRule>
  </conditionalFormatting>
  <conditionalFormatting sqref="AN39">
    <cfRule type="containsText" dxfId="10" priority="1037" operator="containsText" text="1">
      <formula>NOT(ISERROR(SEARCH(("1"),(AN39))))</formula>
    </cfRule>
  </conditionalFormatting>
  <conditionalFormatting sqref="AN39">
    <cfRule type="containsText" dxfId="10" priority="1038" operator="containsText" text="L">
      <formula>NOT(ISERROR(SEARCH(("L"),(AN39))))</formula>
    </cfRule>
  </conditionalFormatting>
  <conditionalFormatting sqref="AN41">
    <cfRule type="containsText" dxfId="12" priority="1039" operator="containsText" text="ex">
      <formula>NOT(ISERROR(SEARCH(("ex"),(AN41))))</formula>
    </cfRule>
  </conditionalFormatting>
  <conditionalFormatting sqref="AN41">
    <cfRule type="containsText" dxfId="6" priority="1040" operator="containsText" text="curso">
      <formula>NOT(ISERROR(SEARCH(("curso"),(AN41))))</formula>
    </cfRule>
  </conditionalFormatting>
  <conditionalFormatting sqref="AN41">
    <cfRule type="containsText" dxfId="13" priority="1041" operator="containsText" text="indisp">
      <formula>NOT(ISERROR(SEARCH(("indisp"),(AN41))))</formula>
    </cfRule>
  </conditionalFormatting>
  <conditionalFormatting sqref="AN41">
    <cfRule type="containsText" dxfId="4" priority="1042" operator="containsText" text="B A J A">
      <formula>NOT(ISERROR(SEARCH(("B A J A"),(AN41))))</formula>
    </cfRule>
  </conditionalFormatting>
  <conditionalFormatting sqref="AN41">
    <cfRule type="containsText" dxfId="4" priority="1043" operator="containsText" text="BAJA">
      <formula>NOT(ISERROR(SEARCH(("BAJA"),(AN41))))</formula>
    </cfRule>
  </conditionalFormatting>
  <conditionalFormatting sqref="AN41">
    <cfRule type="containsText" dxfId="4" priority="1044" operator="containsText" text="V A C A C I O N E S">
      <formula>NOT(ISERROR(SEARCH(("V A C A C I O N E S"),(AN41))))</formula>
    </cfRule>
  </conditionalFormatting>
  <conditionalFormatting sqref="AN41">
    <cfRule type="containsText" dxfId="4" priority="1045" operator="containsText" text="Vacaciones">
      <formula>NOT(ISERROR(SEARCH(("Vacaciones"),(AN41))))</formula>
    </cfRule>
  </conditionalFormatting>
  <conditionalFormatting sqref="AN41">
    <cfRule type="containsText" dxfId="6" priority="1046" operator="containsText" text="JuB">
      <formula>NOT(ISERROR(SEARCH(("JuB"),(AN41))))</formula>
    </cfRule>
  </conditionalFormatting>
  <conditionalFormatting sqref="AN41">
    <cfRule type="containsText" dxfId="6" priority="1047" operator="containsText" text="JuC">
      <formula>NOT(ISERROR(SEARCH(("JuC"),(AN41))))</formula>
    </cfRule>
  </conditionalFormatting>
  <conditionalFormatting sqref="AN41">
    <cfRule type="containsText" dxfId="5" priority="1048" operator="containsText" text="AP">
      <formula>NOT(ISERROR(SEARCH(("AP"),(AN41))))</formula>
    </cfRule>
  </conditionalFormatting>
  <conditionalFormatting sqref="AN41">
    <cfRule type="containsText" dxfId="6" priority="1049" operator="containsText" text="Ts">
      <formula>NOT(ISERROR(SEARCH(("Ts"),(AN41))))</formula>
    </cfRule>
  </conditionalFormatting>
  <conditionalFormatting sqref="AN41">
    <cfRule type="containsText" dxfId="7" priority="1050" operator="containsText" text="D">
      <formula>NOT(ISERROR(SEARCH(("D"),(AN41))))</formula>
    </cfRule>
  </conditionalFormatting>
  <conditionalFormatting sqref="AN41">
    <cfRule type="containsText" dxfId="8" priority="1051" operator="containsText" text="3">
      <formula>NOT(ISERROR(SEARCH(("3"),(AN41))))</formula>
    </cfRule>
  </conditionalFormatting>
  <conditionalFormatting sqref="AN41">
    <cfRule type="containsText" dxfId="9" priority="1052" operator="containsText" text="2">
      <formula>NOT(ISERROR(SEARCH(("2"),(AN41))))</formula>
    </cfRule>
  </conditionalFormatting>
  <conditionalFormatting sqref="AN41">
    <cfRule type="containsText" dxfId="10" priority="1053" operator="containsText" text="1">
      <formula>NOT(ISERROR(SEARCH(("1"),(AN41))))</formula>
    </cfRule>
  </conditionalFormatting>
  <conditionalFormatting sqref="AN41">
    <cfRule type="containsText" dxfId="10" priority="1054" operator="containsText" text="L">
      <formula>NOT(ISERROR(SEARCH(("L"),(AN41))))</formula>
    </cfRule>
  </conditionalFormatting>
  <conditionalFormatting sqref="AR7">
    <cfRule type="cellIs" dxfId="3" priority="1055" operator="greaterThanOrEqual">
      <formula>5</formula>
    </cfRule>
  </conditionalFormatting>
  <conditionalFormatting sqref="AR7">
    <cfRule type="cellIs" dxfId="2" priority="1056" operator="lessThan">
      <formula>5</formula>
    </cfRule>
  </conditionalFormatting>
  <conditionalFormatting sqref="AR9">
    <cfRule type="cellIs" dxfId="3" priority="1057" operator="greaterThanOrEqual">
      <formula>5</formula>
    </cfRule>
  </conditionalFormatting>
  <conditionalFormatting sqref="AR9">
    <cfRule type="cellIs" dxfId="2" priority="1058" operator="lessThan">
      <formula>5</formula>
    </cfRule>
  </conditionalFormatting>
  <conditionalFormatting sqref="AR11">
    <cfRule type="cellIs" dxfId="3" priority="1059" operator="greaterThanOrEqual">
      <formula>5</formula>
    </cfRule>
  </conditionalFormatting>
  <conditionalFormatting sqref="AR11">
    <cfRule type="cellIs" dxfId="2" priority="1060" operator="lessThan">
      <formula>5</formula>
    </cfRule>
  </conditionalFormatting>
  <conditionalFormatting sqref="AR13">
    <cfRule type="cellIs" dxfId="3" priority="1061" operator="greaterThanOrEqual">
      <formula>5</formula>
    </cfRule>
  </conditionalFormatting>
  <conditionalFormatting sqref="AR13">
    <cfRule type="cellIs" dxfId="2" priority="1062" operator="lessThan">
      <formula>5</formula>
    </cfRule>
  </conditionalFormatting>
  <conditionalFormatting sqref="AR15">
    <cfRule type="cellIs" dxfId="3" priority="1063" operator="greaterThanOrEqual">
      <formula>5</formula>
    </cfRule>
  </conditionalFormatting>
  <conditionalFormatting sqref="AR15">
    <cfRule type="cellIs" dxfId="2" priority="1064" operator="lessThan">
      <formula>5</formula>
    </cfRule>
  </conditionalFormatting>
  <conditionalFormatting sqref="AR17">
    <cfRule type="cellIs" dxfId="3" priority="1065" operator="greaterThanOrEqual">
      <formula>5</formula>
    </cfRule>
  </conditionalFormatting>
  <conditionalFormatting sqref="AR17">
    <cfRule type="cellIs" dxfId="2" priority="1066" operator="lessThan">
      <formula>5</formula>
    </cfRule>
  </conditionalFormatting>
  <conditionalFormatting sqref="AR19">
    <cfRule type="cellIs" dxfId="3" priority="1067" operator="greaterThanOrEqual">
      <formula>5</formula>
    </cfRule>
  </conditionalFormatting>
  <conditionalFormatting sqref="AR19">
    <cfRule type="cellIs" dxfId="2" priority="1068" operator="lessThan">
      <formula>5</formula>
    </cfRule>
  </conditionalFormatting>
  <conditionalFormatting sqref="AR21">
    <cfRule type="cellIs" dxfId="3" priority="1069" operator="greaterThanOrEqual">
      <formula>5</formula>
    </cfRule>
  </conditionalFormatting>
  <conditionalFormatting sqref="AR21">
    <cfRule type="cellIs" dxfId="2" priority="1070" operator="lessThan">
      <formula>5</formula>
    </cfRule>
  </conditionalFormatting>
  <conditionalFormatting sqref="AR23">
    <cfRule type="cellIs" dxfId="3" priority="1071" operator="greaterThanOrEqual">
      <formula>5</formula>
    </cfRule>
  </conditionalFormatting>
  <conditionalFormatting sqref="AR23">
    <cfRule type="cellIs" dxfId="2" priority="1072" operator="lessThan">
      <formula>5</formula>
    </cfRule>
  </conditionalFormatting>
  <conditionalFormatting sqref="AR25">
    <cfRule type="cellIs" dxfId="3" priority="1073" operator="greaterThanOrEqual">
      <formula>5</formula>
    </cfRule>
  </conditionalFormatting>
  <conditionalFormatting sqref="AR25">
    <cfRule type="cellIs" dxfId="2" priority="1074" operator="lessThan">
      <formula>5</formula>
    </cfRule>
  </conditionalFormatting>
  <conditionalFormatting sqref="AR27">
    <cfRule type="cellIs" dxfId="3" priority="1075" operator="greaterThanOrEqual">
      <formula>5</formula>
    </cfRule>
  </conditionalFormatting>
  <conditionalFormatting sqref="AR27">
    <cfRule type="cellIs" dxfId="2" priority="1076" operator="lessThan">
      <formula>5</formula>
    </cfRule>
  </conditionalFormatting>
  <conditionalFormatting sqref="AR29">
    <cfRule type="cellIs" dxfId="3" priority="1077" operator="greaterThanOrEqual">
      <formula>5</formula>
    </cfRule>
  </conditionalFormatting>
  <conditionalFormatting sqref="AR29">
    <cfRule type="cellIs" dxfId="2" priority="1078" operator="lessThan">
      <formula>5</formula>
    </cfRule>
  </conditionalFormatting>
  <conditionalFormatting sqref="AR31">
    <cfRule type="cellIs" dxfId="3" priority="1079" operator="greaterThanOrEqual">
      <formula>5</formula>
    </cfRule>
  </conditionalFormatting>
  <conditionalFormatting sqref="AR31">
    <cfRule type="cellIs" dxfId="2" priority="1080" operator="lessThan">
      <formula>5</formula>
    </cfRule>
  </conditionalFormatting>
  <conditionalFormatting sqref="AR33">
    <cfRule type="cellIs" dxfId="3" priority="1081" operator="greaterThanOrEqual">
      <formula>5</formula>
    </cfRule>
  </conditionalFormatting>
  <conditionalFormatting sqref="AR33">
    <cfRule type="cellIs" dxfId="2" priority="1082" operator="lessThan">
      <formula>5</formula>
    </cfRule>
  </conditionalFormatting>
  <conditionalFormatting sqref="AR39">
    <cfRule type="cellIs" dxfId="3" priority="1083" operator="greaterThanOrEqual">
      <formula>5</formula>
    </cfRule>
  </conditionalFormatting>
  <conditionalFormatting sqref="AR39">
    <cfRule type="cellIs" dxfId="2" priority="1084" operator="lessThan">
      <formula>5</formula>
    </cfRule>
  </conditionalFormatting>
  <conditionalFormatting sqref="AW5:AX5 BF5">
    <cfRule type="cellIs" dxfId="6" priority="1085" operator="greaterThan">
      <formula>0</formula>
    </cfRule>
  </conditionalFormatting>
  <conditionalFormatting sqref="AW42:AX43 BE42:BF43">
    <cfRule type="cellIs" dxfId="6" priority="1086" operator="greaterThan">
      <formula>0</formula>
    </cfRule>
  </conditionalFormatting>
  <conditionalFormatting sqref="AW7:BG39">
    <cfRule type="cellIs" dxfId="6" priority="1087" operator="greaterThan">
      <formula>0</formula>
    </cfRule>
  </conditionalFormatting>
  <conditionalFormatting sqref="BA41">
    <cfRule type="cellIs" dxfId="6" priority="1088" operator="greaterThan">
      <formula>0</formula>
    </cfRule>
  </conditionalFormatting>
  <conditionalFormatting sqref="D35:H35">
    <cfRule type="containsText" dxfId="7" priority="1089" operator="containsText" text="D">
      <formula>NOT(ISERROR(SEARCH(("D"),(D35))))</formula>
    </cfRule>
  </conditionalFormatting>
  <conditionalFormatting sqref="D35:H35">
    <cfRule type="containsText" dxfId="8" priority="1090" operator="containsText" text="3">
      <formula>NOT(ISERROR(SEARCH(("3"),(D35))))</formula>
    </cfRule>
  </conditionalFormatting>
  <conditionalFormatting sqref="D35:H35">
    <cfRule type="containsText" dxfId="9" priority="1091" operator="containsText" text="2">
      <formula>NOT(ISERROR(SEARCH(("2"),(D35))))</formula>
    </cfRule>
  </conditionalFormatting>
  <conditionalFormatting sqref="D35:H35">
    <cfRule type="containsText" dxfId="10" priority="1092" operator="containsText" text="1">
      <formula>NOT(ISERROR(SEARCH(("1"),(D35))))</formula>
    </cfRule>
  </conditionalFormatting>
  <conditionalFormatting sqref="D35:H35">
    <cfRule type="containsText" dxfId="10" priority="1093" operator="containsText" text="L">
      <formula>NOT(ISERROR(SEARCH(("L"),(D35))))</formula>
    </cfRule>
  </conditionalFormatting>
  <conditionalFormatting sqref="D35:H36">
    <cfRule type="containsText" dxfId="12" priority="1094" operator="containsText" text="ex">
      <formula>NOT(ISERROR(SEARCH(("ex"),(D35))))</formula>
    </cfRule>
  </conditionalFormatting>
  <conditionalFormatting sqref="D35:H36">
    <cfRule type="containsText" dxfId="13" priority="1095" operator="containsText" text="indisp">
      <formula>NOT(ISERROR(SEARCH(("indisp"),(D35))))</formula>
    </cfRule>
  </conditionalFormatting>
  <conditionalFormatting sqref="D35:H36">
    <cfRule type="containsText" dxfId="4" priority="1096" operator="containsText" text="B A J A">
      <formula>NOT(ISERROR(SEARCH(("B A J A"),(D35))))</formula>
    </cfRule>
  </conditionalFormatting>
  <conditionalFormatting sqref="D35:H36">
    <cfRule type="containsText" dxfId="4" priority="1097" operator="containsText" text="BAJA">
      <formula>NOT(ISERROR(SEARCH(("BAJA"),(D35))))</formula>
    </cfRule>
  </conditionalFormatting>
  <conditionalFormatting sqref="D35:H36">
    <cfRule type="containsText" dxfId="4" priority="1098" operator="containsText" text="V A C A C I O N E S">
      <formula>NOT(ISERROR(SEARCH(("V A C A C I O N E S"),(D35))))</formula>
    </cfRule>
  </conditionalFormatting>
  <conditionalFormatting sqref="D35:H36">
    <cfRule type="containsText" dxfId="4" priority="1099" operator="containsText" text="Vacaciones">
      <formula>NOT(ISERROR(SEARCH(("Vacaciones"),(D35))))</formula>
    </cfRule>
  </conditionalFormatting>
  <conditionalFormatting sqref="D35:H36">
    <cfRule type="containsText" dxfId="6" priority="1100" operator="containsText" text="JuB">
      <formula>NOT(ISERROR(SEARCH(("JuB"),(D35))))</formula>
    </cfRule>
  </conditionalFormatting>
  <conditionalFormatting sqref="D35:H36">
    <cfRule type="containsText" dxfId="6" priority="1101" operator="containsText" text="JuC">
      <formula>NOT(ISERROR(SEARCH(("JuC"),(D35))))</formula>
    </cfRule>
  </conditionalFormatting>
  <conditionalFormatting sqref="D35:H36">
    <cfRule type="containsText" dxfId="5" priority="1102" operator="containsText" text="AP">
      <formula>NOT(ISERROR(SEARCH(("AP"),(D35))))</formula>
    </cfRule>
  </conditionalFormatting>
  <conditionalFormatting sqref="D35:H36">
    <cfRule type="containsText" dxfId="6" priority="1103" operator="containsText" text="Ts">
      <formula>NOT(ISERROR(SEARCH(("Ts"),(D35))))</formula>
    </cfRule>
  </conditionalFormatting>
  <conditionalFormatting sqref="I35:M35">
    <cfRule type="containsText" dxfId="7" priority="1104" operator="containsText" text="D">
      <formula>NOT(ISERROR(SEARCH(("D"),(I35))))</formula>
    </cfRule>
  </conditionalFormatting>
  <conditionalFormatting sqref="I35:M35">
    <cfRule type="containsText" dxfId="8" priority="1105" operator="containsText" text="3">
      <formula>NOT(ISERROR(SEARCH(("3"),(I35))))</formula>
    </cfRule>
  </conditionalFormatting>
  <conditionalFormatting sqref="I35:M35">
    <cfRule type="containsText" dxfId="9" priority="1106" operator="containsText" text="2">
      <formula>NOT(ISERROR(SEARCH(("2"),(I35))))</formula>
    </cfRule>
  </conditionalFormatting>
  <conditionalFormatting sqref="I35:M35">
    <cfRule type="containsText" dxfId="10" priority="1107" operator="containsText" text="1">
      <formula>NOT(ISERROR(SEARCH(("1"),(I35))))</formula>
    </cfRule>
  </conditionalFormatting>
  <conditionalFormatting sqref="I35:M35">
    <cfRule type="containsText" dxfId="10" priority="1108" operator="containsText" text="L">
      <formula>NOT(ISERROR(SEARCH(("L"),(I35))))</formula>
    </cfRule>
  </conditionalFormatting>
  <conditionalFormatting sqref="I35:M36">
    <cfRule type="containsText" dxfId="12" priority="1109" operator="containsText" text="ex">
      <formula>NOT(ISERROR(SEARCH(("ex"),(I35))))</formula>
    </cfRule>
  </conditionalFormatting>
  <conditionalFormatting sqref="I35:M36">
    <cfRule type="containsText" dxfId="6" priority="1110" operator="containsText" text="curso">
      <formula>NOT(ISERROR(SEARCH(("curso"),(I35))))</formula>
    </cfRule>
  </conditionalFormatting>
  <conditionalFormatting sqref="I35:M36">
    <cfRule type="containsText" dxfId="13" priority="1111" operator="containsText" text="indisp">
      <formula>NOT(ISERROR(SEARCH(("indisp"),(I35))))</formula>
    </cfRule>
  </conditionalFormatting>
  <conditionalFormatting sqref="I35:M36">
    <cfRule type="containsText" dxfId="4" priority="1112" operator="containsText" text="B A J A">
      <formula>NOT(ISERROR(SEARCH(("B A J A"),(I35))))</formula>
    </cfRule>
  </conditionalFormatting>
  <conditionalFormatting sqref="I35:M36">
    <cfRule type="containsText" dxfId="4" priority="1113" operator="containsText" text="BAJA">
      <formula>NOT(ISERROR(SEARCH(("BAJA"),(I35))))</formula>
    </cfRule>
  </conditionalFormatting>
  <conditionalFormatting sqref="I35:M36">
    <cfRule type="containsText" dxfId="4" priority="1114" operator="containsText" text="V A C A C I O N E S">
      <formula>NOT(ISERROR(SEARCH(("V A C A C I O N E S"),(I35))))</formula>
    </cfRule>
  </conditionalFormatting>
  <conditionalFormatting sqref="I35:M36">
    <cfRule type="containsText" dxfId="4" priority="1115" operator="containsText" text="Vacaciones">
      <formula>NOT(ISERROR(SEARCH(("Vacaciones"),(I35))))</formula>
    </cfRule>
  </conditionalFormatting>
  <conditionalFormatting sqref="I35:M36">
    <cfRule type="containsText" dxfId="6" priority="1116" operator="containsText" text="JuB">
      <formula>NOT(ISERROR(SEARCH(("JuB"),(I35))))</formula>
    </cfRule>
  </conditionalFormatting>
  <conditionalFormatting sqref="I35:M36">
    <cfRule type="containsText" dxfId="6" priority="1117" operator="containsText" text="JuC">
      <formula>NOT(ISERROR(SEARCH(("JuC"),(I35))))</formula>
    </cfRule>
  </conditionalFormatting>
  <conditionalFormatting sqref="I35:M36">
    <cfRule type="containsText" dxfId="5" priority="1118" operator="containsText" text="AP">
      <formula>NOT(ISERROR(SEARCH(("AP"),(I35))))</formula>
    </cfRule>
  </conditionalFormatting>
  <conditionalFormatting sqref="I35:M36">
    <cfRule type="containsText" dxfId="6" priority="1119" operator="containsText" text="Ts">
      <formula>NOT(ISERROR(SEARCH(("Ts"),(I35))))</formula>
    </cfRule>
  </conditionalFormatting>
  <conditionalFormatting sqref="I37:M37">
    <cfRule type="containsText" dxfId="7" priority="1120" operator="containsText" text="D">
      <formula>NOT(ISERROR(SEARCH(("D"),(I37))))</formula>
    </cfRule>
  </conditionalFormatting>
  <conditionalFormatting sqref="I37:M37">
    <cfRule type="containsText" dxfId="8" priority="1121" operator="containsText" text="3">
      <formula>NOT(ISERROR(SEARCH(("3"),(I37))))</formula>
    </cfRule>
  </conditionalFormatting>
  <conditionalFormatting sqref="I37:M37">
    <cfRule type="containsText" dxfId="9" priority="1122" operator="containsText" text="2">
      <formula>NOT(ISERROR(SEARCH(("2"),(I37))))</formula>
    </cfRule>
  </conditionalFormatting>
  <conditionalFormatting sqref="I37:M37">
    <cfRule type="containsText" dxfId="10" priority="1123" operator="containsText" text="1">
      <formula>NOT(ISERROR(SEARCH(("1"),(I37))))</formula>
    </cfRule>
  </conditionalFormatting>
  <conditionalFormatting sqref="I37:M37">
    <cfRule type="containsText" dxfId="10" priority="1124" operator="containsText" text="L">
      <formula>NOT(ISERROR(SEARCH(("L"),(I37))))</formula>
    </cfRule>
  </conditionalFormatting>
  <conditionalFormatting sqref="N35:AM35">
    <cfRule type="containsText" dxfId="12" priority="1125" operator="containsText" text="ex">
      <formula>NOT(ISERROR(SEARCH(("ex"),(N35))))</formula>
    </cfRule>
  </conditionalFormatting>
  <conditionalFormatting sqref="N35:AM35">
    <cfRule type="containsText" dxfId="6" priority="1126" operator="containsText" text="curso">
      <formula>NOT(ISERROR(SEARCH(("curso"),(N35))))</formula>
    </cfRule>
  </conditionalFormatting>
  <conditionalFormatting sqref="N35:AM35">
    <cfRule type="containsText" dxfId="13" priority="1127" operator="containsText" text="indisp">
      <formula>NOT(ISERROR(SEARCH(("indisp"),(N35))))</formula>
    </cfRule>
  </conditionalFormatting>
  <conditionalFormatting sqref="N35:AM35">
    <cfRule type="containsText" dxfId="4" priority="1128" operator="containsText" text="B A J A">
      <formula>NOT(ISERROR(SEARCH(("B A J A"),(N35))))</formula>
    </cfRule>
  </conditionalFormatting>
  <conditionalFormatting sqref="N35:AM35">
    <cfRule type="containsText" dxfId="4" priority="1129" operator="containsText" text="BAJA">
      <formula>NOT(ISERROR(SEARCH(("BAJA"),(N35))))</formula>
    </cfRule>
  </conditionalFormatting>
  <conditionalFormatting sqref="N35:AM35">
    <cfRule type="containsText" dxfId="4" priority="1130" operator="containsText" text="V A C A C I O N E S">
      <formula>NOT(ISERROR(SEARCH(("V A C A C I O N E S"),(N35))))</formula>
    </cfRule>
  </conditionalFormatting>
  <conditionalFormatting sqref="N35:AM35">
    <cfRule type="containsText" dxfId="4" priority="1131" operator="containsText" text="Vacaciones">
      <formula>NOT(ISERROR(SEARCH(("Vacaciones"),(N35))))</formula>
    </cfRule>
  </conditionalFormatting>
  <conditionalFormatting sqref="N35:AM35">
    <cfRule type="containsText" dxfId="6" priority="1132" operator="containsText" text="JuB">
      <formula>NOT(ISERROR(SEARCH(("JuB"),(N35))))</formula>
    </cfRule>
  </conditionalFormatting>
  <conditionalFormatting sqref="N35:AM35">
    <cfRule type="containsText" dxfId="6" priority="1133" operator="containsText" text="JuC">
      <formula>NOT(ISERROR(SEARCH(("JuC"),(N35))))</formula>
    </cfRule>
  </conditionalFormatting>
  <conditionalFormatting sqref="N35:AM35">
    <cfRule type="containsText" dxfId="5" priority="1134" operator="containsText" text="AP">
      <formula>NOT(ISERROR(SEARCH(("AP"),(N35))))</formula>
    </cfRule>
  </conditionalFormatting>
  <conditionalFormatting sqref="N35:AM35">
    <cfRule type="containsText" dxfId="6" priority="1135" operator="containsText" text="Ts">
      <formula>NOT(ISERROR(SEARCH(("Ts"),(N35))))</formula>
    </cfRule>
  </conditionalFormatting>
  <conditionalFormatting sqref="N35:AM36">
    <cfRule type="containsText" dxfId="12" priority="1136" operator="containsText" text="ex">
      <formula>NOT(ISERROR(SEARCH(("ex"),(N35))))</formula>
    </cfRule>
  </conditionalFormatting>
  <conditionalFormatting sqref="N35:AM36">
    <cfRule type="containsText" dxfId="6" priority="1137" operator="containsText" text="curso">
      <formula>NOT(ISERROR(SEARCH(("curso"),(N35))))</formula>
    </cfRule>
  </conditionalFormatting>
  <conditionalFormatting sqref="N35:AM36">
    <cfRule type="containsText" dxfId="13" priority="1138" operator="containsText" text="indisp">
      <formula>NOT(ISERROR(SEARCH(("indisp"),(N35))))</formula>
    </cfRule>
  </conditionalFormatting>
  <conditionalFormatting sqref="N35:AM36">
    <cfRule type="containsText" dxfId="4" priority="1139" operator="containsText" text="B A J A">
      <formula>NOT(ISERROR(SEARCH(("B A J A"),(N35))))</formula>
    </cfRule>
  </conditionalFormatting>
  <conditionalFormatting sqref="N35:AM36">
    <cfRule type="containsText" dxfId="4" priority="1140" operator="containsText" text="BAJA">
      <formula>NOT(ISERROR(SEARCH(("BAJA"),(N35))))</formula>
    </cfRule>
  </conditionalFormatting>
  <conditionalFormatting sqref="N35:AM36">
    <cfRule type="containsText" dxfId="4" priority="1141" operator="containsText" text="V A C A C I O N E S">
      <formula>NOT(ISERROR(SEARCH(("V A C A C I O N E S"),(N35))))</formula>
    </cfRule>
  </conditionalFormatting>
  <conditionalFormatting sqref="N35:AM36">
    <cfRule type="containsText" dxfId="4" priority="1142" operator="containsText" text="Vacaciones">
      <formula>NOT(ISERROR(SEARCH(("Vacaciones"),(N35))))</formula>
    </cfRule>
  </conditionalFormatting>
  <conditionalFormatting sqref="N35:AM36">
    <cfRule type="containsText" dxfId="6" priority="1143" operator="containsText" text="JuB">
      <formula>NOT(ISERROR(SEARCH(("JuB"),(N35))))</formula>
    </cfRule>
  </conditionalFormatting>
  <conditionalFormatting sqref="N35:AM36">
    <cfRule type="containsText" dxfId="6" priority="1144" operator="containsText" text="JuC">
      <formula>NOT(ISERROR(SEARCH(("JuC"),(N35))))</formula>
    </cfRule>
  </conditionalFormatting>
  <conditionalFormatting sqref="N35:AM36">
    <cfRule type="containsText" dxfId="5" priority="1145" operator="containsText" text="AP">
      <formula>NOT(ISERROR(SEARCH(("AP"),(N35))))</formula>
    </cfRule>
  </conditionalFormatting>
  <conditionalFormatting sqref="N35:AM36">
    <cfRule type="containsText" dxfId="6" priority="1146" operator="containsText" text="Ts">
      <formula>NOT(ISERROR(SEARCH(("Ts"),(N35))))</formula>
    </cfRule>
  </conditionalFormatting>
  <conditionalFormatting sqref="N37:AM37">
    <cfRule type="containsText" dxfId="12" priority="1147" operator="containsText" text="ex">
      <formula>NOT(ISERROR(SEARCH(("ex"),(N37))))</formula>
    </cfRule>
  </conditionalFormatting>
  <conditionalFormatting sqref="N37:AM37">
    <cfRule type="containsText" dxfId="6" priority="1148" operator="containsText" text="curso">
      <formula>NOT(ISERROR(SEARCH(("curso"),(N37))))</formula>
    </cfRule>
  </conditionalFormatting>
  <conditionalFormatting sqref="N37:AM37">
    <cfRule type="containsText" dxfId="13" priority="1149" operator="containsText" text="indisp">
      <formula>NOT(ISERROR(SEARCH(("indisp"),(N37))))</formula>
    </cfRule>
  </conditionalFormatting>
  <conditionalFormatting sqref="N37:AM37">
    <cfRule type="containsText" dxfId="4" priority="1150" operator="containsText" text="B A J A">
      <formula>NOT(ISERROR(SEARCH(("B A J A"),(N37))))</formula>
    </cfRule>
  </conditionalFormatting>
  <conditionalFormatting sqref="N37:AM37">
    <cfRule type="containsText" dxfId="4" priority="1151" operator="containsText" text="BAJA">
      <formula>NOT(ISERROR(SEARCH(("BAJA"),(N37))))</formula>
    </cfRule>
  </conditionalFormatting>
  <conditionalFormatting sqref="N37:AM37">
    <cfRule type="containsText" dxfId="4" priority="1152" operator="containsText" text="V A C A C I O N E S">
      <formula>NOT(ISERROR(SEARCH(("V A C A C I O N E S"),(N37))))</formula>
    </cfRule>
  </conditionalFormatting>
  <conditionalFormatting sqref="N37:AM37">
    <cfRule type="containsText" dxfId="4" priority="1153" operator="containsText" text="Vacaciones">
      <formula>NOT(ISERROR(SEARCH(("Vacaciones"),(N37))))</formula>
    </cfRule>
  </conditionalFormatting>
  <conditionalFormatting sqref="N37:AM37">
    <cfRule type="containsText" dxfId="6" priority="1154" operator="containsText" text="JuB">
      <formula>NOT(ISERROR(SEARCH(("JuB"),(N37))))</formula>
    </cfRule>
  </conditionalFormatting>
  <conditionalFormatting sqref="N37:AM37">
    <cfRule type="containsText" dxfId="6" priority="1155" operator="containsText" text="JuC">
      <formula>NOT(ISERROR(SEARCH(("JuC"),(N37))))</formula>
    </cfRule>
  </conditionalFormatting>
  <conditionalFormatting sqref="N37:AM37">
    <cfRule type="containsText" dxfId="5" priority="1156" operator="containsText" text="AP">
      <formula>NOT(ISERROR(SEARCH(("AP"),(N37))))</formula>
    </cfRule>
  </conditionalFormatting>
  <conditionalFormatting sqref="N37:AM37">
    <cfRule type="containsText" dxfId="6" priority="1157" operator="containsText" text="Ts">
      <formula>NOT(ISERROR(SEARCH(("Ts"),(N37))))</formula>
    </cfRule>
  </conditionalFormatting>
  <conditionalFormatting sqref="N37:AM37">
    <cfRule type="containsText" dxfId="7" priority="1158" operator="containsText" text="D">
      <formula>NOT(ISERROR(SEARCH(("D"),(N37))))</formula>
    </cfRule>
  </conditionalFormatting>
  <conditionalFormatting sqref="N37:AM37">
    <cfRule type="containsText" dxfId="8" priority="1159" operator="containsText" text="3">
      <formula>NOT(ISERROR(SEARCH(("3"),(N37))))</formula>
    </cfRule>
  </conditionalFormatting>
  <conditionalFormatting sqref="N37:AM37">
    <cfRule type="containsText" dxfId="9" priority="1160" operator="containsText" text="2">
      <formula>NOT(ISERROR(SEARCH(("2"),(N37))))</formula>
    </cfRule>
  </conditionalFormatting>
  <conditionalFormatting sqref="N37:AM37">
    <cfRule type="containsText" dxfId="10" priority="1161" operator="containsText" text="1">
      <formula>NOT(ISERROR(SEARCH(("1"),(N37))))</formula>
    </cfRule>
  </conditionalFormatting>
  <conditionalFormatting sqref="N37:AM37">
    <cfRule type="containsText" dxfId="10" priority="1162" operator="containsText" text="L">
      <formula>NOT(ISERROR(SEARCH(("L"),(N37))))</formula>
    </cfRule>
  </conditionalFormatting>
  <conditionalFormatting sqref="N35:AM35">
    <cfRule type="containsText" dxfId="9" priority="1163" operator="containsText" text="2">
      <formula>NOT(ISERROR(SEARCH(("2"),(N35))))</formula>
    </cfRule>
  </conditionalFormatting>
  <conditionalFormatting sqref="N35:AM35">
    <cfRule type="containsText" dxfId="10" priority="1164" operator="containsText" text="1">
      <formula>NOT(ISERROR(SEARCH(("1"),(N35))))</formula>
    </cfRule>
  </conditionalFormatting>
  <conditionalFormatting sqref="N35:AM35">
    <cfRule type="containsText" dxfId="10" priority="1165" operator="containsText" text="L">
      <formula>NOT(ISERROR(SEARCH(("L"),(N35))))</formula>
    </cfRule>
  </conditionalFormatting>
  <conditionalFormatting sqref="N35:AM35">
    <cfRule type="containsText" dxfId="7" priority="1166" operator="containsText" text="D">
      <formula>NOT(ISERROR(SEARCH(("D"),(N35))))</formula>
    </cfRule>
  </conditionalFormatting>
  <conditionalFormatting sqref="N35:AM35">
    <cfRule type="containsText" dxfId="8" priority="1167" operator="containsText" text="3">
      <formula>NOT(ISERROR(SEARCH(("3"),(N35))))</formula>
    </cfRule>
  </conditionalFormatting>
  <conditionalFormatting sqref="AR35">
    <cfRule type="cellIs" dxfId="3" priority="1168" operator="greaterThanOrEqual">
      <formula>5</formula>
    </cfRule>
  </conditionalFormatting>
  <conditionalFormatting sqref="AR35">
    <cfRule type="cellIs" dxfId="2" priority="1169" operator="lessThan">
      <formula>5</formula>
    </cfRule>
  </conditionalFormatting>
  <conditionalFormatting sqref="AR37">
    <cfRule type="cellIs" dxfId="3" priority="1170" operator="greaterThanOrEqual">
      <formula>5</formula>
    </cfRule>
  </conditionalFormatting>
  <conditionalFormatting sqref="AR37">
    <cfRule type="cellIs" dxfId="2" priority="1171" operator="lessThan">
      <formula>5</formula>
    </cfRule>
  </conditionalFormatting>
  <conditionalFormatting sqref="D37:H37">
    <cfRule type="containsText" dxfId="7" priority="1172" operator="containsText" text="D">
      <formula>NOT(ISERROR(SEARCH(("D"),(D37))))</formula>
    </cfRule>
  </conditionalFormatting>
  <conditionalFormatting sqref="D37:H37">
    <cfRule type="containsText" dxfId="8" priority="1173" operator="containsText" text="3">
      <formula>NOT(ISERROR(SEARCH(("3"),(D37))))</formula>
    </cfRule>
  </conditionalFormatting>
  <conditionalFormatting sqref="D37:H37">
    <cfRule type="containsText" dxfId="9" priority="1174" operator="containsText" text="2">
      <formula>NOT(ISERROR(SEARCH(("2"),(D37))))</formula>
    </cfRule>
  </conditionalFormatting>
  <conditionalFormatting sqref="D37:H37">
    <cfRule type="containsText" dxfId="10" priority="1175" operator="containsText" text="1">
      <formula>NOT(ISERROR(SEARCH(("1"),(D37))))</formula>
    </cfRule>
  </conditionalFormatting>
  <conditionalFormatting sqref="D37:H37">
    <cfRule type="containsText" dxfId="10" priority="1176" operator="containsText" text="L">
      <formula>NOT(ISERROR(SEARCH(("L"),(D37))))</formula>
    </cfRule>
  </conditionalFormatting>
  <conditionalFormatting sqref="D37:H37">
    <cfRule type="containsText" dxfId="12" priority="1177" operator="containsText" text="ex">
      <formula>NOT(ISERROR(SEARCH(("ex"),(D37))))</formula>
    </cfRule>
  </conditionalFormatting>
  <conditionalFormatting sqref="D37:H37">
    <cfRule type="containsText" dxfId="13" priority="1178" operator="containsText" text="indisp">
      <formula>NOT(ISERROR(SEARCH(("indisp"),(D37))))</formula>
    </cfRule>
  </conditionalFormatting>
  <conditionalFormatting sqref="D37:H37">
    <cfRule type="containsText" dxfId="4" priority="1179" operator="containsText" text="B A J A">
      <formula>NOT(ISERROR(SEARCH(("B A J A"),(D37))))</formula>
    </cfRule>
  </conditionalFormatting>
  <conditionalFormatting sqref="D37:H37">
    <cfRule type="containsText" dxfId="4" priority="1180" operator="containsText" text="BAJA">
      <formula>NOT(ISERROR(SEARCH(("BAJA"),(D37))))</formula>
    </cfRule>
  </conditionalFormatting>
  <conditionalFormatting sqref="D37:H37">
    <cfRule type="containsText" dxfId="4" priority="1181" operator="containsText" text="V A C A C I O N E S">
      <formula>NOT(ISERROR(SEARCH(("V A C A C I O N E S"),(D37))))</formula>
    </cfRule>
  </conditionalFormatting>
  <conditionalFormatting sqref="D37:H37">
    <cfRule type="containsText" dxfId="4" priority="1182" operator="containsText" text="Vacaciones">
      <formula>NOT(ISERROR(SEARCH(("Vacaciones"),(D37))))</formula>
    </cfRule>
  </conditionalFormatting>
  <conditionalFormatting sqref="D37:H37">
    <cfRule type="containsText" dxfId="6" priority="1183" operator="containsText" text="JuB">
      <formula>NOT(ISERROR(SEARCH(("JuB"),(D37))))</formula>
    </cfRule>
  </conditionalFormatting>
  <conditionalFormatting sqref="D37:H37">
    <cfRule type="containsText" dxfId="6" priority="1184" operator="containsText" text="JuC">
      <formula>NOT(ISERROR(SEARCH(("JuC"),(D37))))</formula>
    </cfRule>
  </conditionalFormatting>
  <conditionalFormatting sqref="D37:H37">
    <cfRule type="containsText" dxfId="5" priority="1185" operator="containsText" text="AP">
      <formula>NOT(ISERROR(SEARCH(("AP"),(D37))))</formula>
    </cfRule>
  </conditionalFormatting>
  <conditionalFormatting sqref="D37:H37">
    <cfRule type="containsText" dxfId="6" priority="1186" operator="containsText" text="Ts">
      <formula>NOT(ISERROR(SEARCH(("Ts"),(D37))))</formula>
    </cfRule>
  </conditionalFormatting>
  <conditionalFormatting sqref="X13:Z13">
    <cfRule type="containsText" dxfId="12" priority="1187" operator="containsText" text="ex">
      <formula>NOT(ISERROR(SEARCH(("ex"),(X13))))</formula>
    </cfRule>
  </conditionalFormatting>
  <conditionalFormatting sqref="X13:Z13">
    <cfRule type="containsText" dxfId="6" priority="1188" operator="containsText" text="curso">
      <formula>NOT(ISERROR(SEARCH(("curso"),(X13))))</formula>
    </cfRule>
  </conditionalFormatting>
  <conditionalFormatting sqref="X13:Z13">
    <cfRule type="containsText" dxfId="13" priority="1189" operator="containsText" text="indisp">
      <formula>NOT(ISERROR(SEARCH(("indisp"),(X13))))</formula>
    </cfRule>
  </conditionalFormatting>
  <conditionalFormatting sqref="X13:Z13">
    <cfRule type="containsText" dxfId="4" priority="1190" operator="containsText" text="B A J A">
      <formula>NOT(ISERROR(SEARCH(("B A J A"),(X13))))</formula>
    </cfRule>
  </conditionalFormatting>
  <conditionalFormatting sqref="X13:Z13">
    <cfRule type="containsText" dxfId="4" priority="1191" operator="containsText" text="BAJA">
      <formula>NOT(ISERROR(SEARCH(("BAJA"),(X13))))</formula>
    </cfRule>
  </conditionalFormatting>
  <conditionalFormatting sqref="X13:Z13">
    <cfRule type="containsText" dxfId="4" priority="1192" operator="containsText" text="V A C A C I O N E S">
      <formula>NOT(ISERROR(SEARCH(("V A C A C I O N E S"),(X13))))</formula>
    </cfRule>
  </conditionalFormatting>
  <conditionalFormatting sqref="X13:Z13">
    <cfRule type="containsText" dxfId="4" priority="1193" operator="containsText" text="Vacaciones">
      <formula>NOT(ISERROR(SEARCH(("Vacaciones"),(X13))))</formula>
    </cfRule>
  </conditionalFormatting>
  <conditionalFormatting sqref="X13:Z13">
    <cfRule type="containsText" dxfId="6" priority="1194" operator="containsText" text="JuB">
      <formula>NOT(ISERROR(SEARCH(("JuB"),(X13))))</formula>
    </cfRule>
  </conditionalFormatting>
  <conditionalFormatting sqref="X13:Z13">
    <cfRule type="containsText" dxfId="6" priority="1195" operator="containsText" text="JuC">
      <formula>NOT(ISERROR(SEARCH(("JuC"),(X13))))</formula>
    </cfRule>
  </conditionalFormatting>
  <conditionalFormatting sqref="X13:Z13">
    <cfRule type="containsText" dxfId="5" priority="1196" operator="containsText" text="AP">
      <formula>NOT(ISERROR(SEARCH(("AP"),(X13))))</formula>
    </cfRule>
  </conditionalFormatting>
  <conditionalFormatting sqref="X13:Z13">
    <cfRule type="containsText" dxfId="6" priority="1197" operator="containsText" text="Ts">
      <formula>NOT(ISERROR(SEARCH(("Ts"),(X13))))</formula>
    </cfRule>
  </conditionalFormatting>
  <conditionalFormatting sqref="X13:Z13">
    <cfRule type="containsText" dxfId="12" priority="1198" operator="containsText" text="ex">
      <formula>NOT(ISERROR(SEARCH(("ex"),(X13))))</formula>
    </cfRule>
  </conditionalFormatting>
  <conditionalFormatting sqref="X13:Z13">
    <cfRule type="containsText" dxfId="6" priority="1199" operator="containsText" text="curso">
      <formula>NOT(ISERROR(SEARCH(("curso"),(X13))))</formula>
    </cfRule>
  </conditionalFormatting>
  <conditionalFormatting sqref="X13:Z13">
    <cfRule type="containsText" dxfId="13" priority="1200" operator="containsText" text="indisp">
      <formula>NOT(ISERROR(SEARCH(("indisp"),(X13))))</formula>
    </cfRule>
  </conditionalFormatting>
  <conditionalFormatting sqref="X13:Z13">
    <cfRule type="containsText" dxfId="4" priority="1201" operator="containsText" text="B A J A">
      <formula>NOT(ISERROR(SEARCH(("B A J A"),(X13))))</formula>
    </cfRule>
  </conditionalFormatting>
  <conditionalFormatting sqref="X13:Z13">
    <cfRule type="containsText" dxfId="4" priority="1202" operator="containsText" text="BAJA">
      <formula>NOT(ISERROR(SEARCH(("BAJA"),(X13))))</formula>
    </cfRule>
  </conditionalFormatting>
  <conditionalFormatting sqref="X13:Z13">
    <cfRule type="containsText" dxfId="4" priority="1203" operator="containsText" text="V A C A C I O N E S">
      <formula>NOT(ISERROR(SEARCH(("V A C A C I O N E S"),(X13))))</formula>
    </cfRule>
  </conditionalFormatting>
  <conditionalFormatting sqref="X13:Z13">
    <cfRule type="containsText" dxfId="4" priority="1204" operator="containsText" text="Vacaciones">
      <formula>NOT(ISERROR(SEARCH(("Vacaciones"),(X13))))</formula>
    </cfRule>
  </conditionalFormatting>
  <conditionalFormatting sqref="X13:Z13">
    <cfRule type="containsText" dxfId="6" priority="1205" operator="containsText" text="JuB">
      <formula>NOT(ISERROR(SEARCH(("JuB"),(X13))))</formula>
    </cfRule>
  </conditionalFormatting>
  <conditionalFormatting sqref="X13:Z13">
    <cfRule type="containsText" dxfId="6" priority="1206" operator="containsText" text="JuC">
      <formula>NOT(ISERROR(SEARCH(("JuC"),(X13))))</formula>
    </cfRule>
  </conditionalFormatting>
  <conditionalFormatting sqref="X13:Z13">
    <cfRule type="containsText" dxfId="5" priority="1207" operator="containsText" text="AP">
      <formula>NOT(ISERROR(SEARCH(("AP"),(X13))))</formula>
    </cfRule>
  </conditionalFormatting>
  <conditionalFormatting sqref="X13:Z13">
    <cfRule type="containsText" dxfId="6" priority="1208" operator="containsText" text="Ts">
      <formula>NOT(ISERROR(SEARCH(("Ts"),(X13))))</formula>
    </cfRule>
  </conditionalFormatting>
  <conditionalFormatting sqref="X13:Z13">
    <cfRule type="containsText" dxfId="7" priority="1209" operator="containsText" text="D">
      <formula>NOT(ISERROR(SEARCH(("D"),(X13))))</formula>
    </cfRule>
  </conditionalFormatting>
  <conditionalFormatting sqref="X13:Z13">
    <cfRule type="containsText" dxfId="8" priority="1210" operator="containsText" text="3">
      <formula>NOT(ISERROR(SEARCH(("3"),(X13))))</formula>
    </cfRule>
  </conditionalFormatting>
  <conditionalFormatting sqref="X13:Z13">
    <cfRule type="containsText" dxfId="9" priority="1211" operator="containsText" text="2">
      <formula>NOT(ISERROR(SEARCH(("2"),(X13))))</formula>
    </cfRule>
  </conditionalFormatting>
  <conditionalFormatting sqref="X13:Z13">
    <cfRule type="containsText" dxfId="10" priority="1212" operator="containsText" text="1">
      <formula>NOT(ISERROR(SEARCH(("1"),(X13))))</formula>
    </cfRule>
  </conditionalFormatting>
  <conditionalFormatting sqref="X13:Z13">
    <cfRule type="containsText" dxfId="10" priority="1213" operator="containsText" text="L">
      <formula>NOT(ISERROR(SEARCH(("L"),(X13))))</formula>
    </cfRule>
  </conditionalFormatting>
  <conditionalFormatting sqref="AL17">
    <cfRule type="containsText" dxfId="12" priority="1214" operator="containsText" text="ex">
      <formula>NOT(ISERROR(SEARCH(("ex"),(AL17))))</formula>
    </cfRule>
  </conditionalFormatting>
  <conditionalFormatting sqref="AL17">
    <cfRule type="containsText" dxfId="6" priority="1215" operator="containsText" text="curso">
      <formula>NOT(ISERROR(SEARCH(("curso"),(AL17))))</formula>
    </cfRule>
  </conditionalFormatting>
  <conditionalFormatting sqref="AL17">
    <cfRule type="containsText" dxfId="13" priority="1216" operator="containsText" text="indisp">
      <formula>NOT(ISERROR(SEARCH(("indisp"),(AL17))))</formula>
    </cfRule>
  </conditionalFormatting>
  <conditionalFormatting sqref="AL17">
    <cfRule type="containsText" dxfId="4" priority="1217" operator="containsText" text="B A J A">
      <formula>NOT(ISERROR(SEARCH(("B A J A"),(AL17))))</formula>
    </cfRule>
  </conditionalFormatting>
  <conditionalFormatting sqref="AL17">
    <cfRule type="containsText" dxfId="4" priority="1218" operator="containsText" text="BAJA">
      <formula>NOT(ISERROR(SEARCH(("BAJA"),(AL17))))</formula>
    </cfRule>
  </conditionalFormatting>
  <conditionalFormatting sqref="AL17">
    <cfRule type="containsText" dxfId="4" priority="1219" operator="containsText" text="V A C A C I O N E S">
      <formula>NOT(ISERROR(SEARCH(("V A C A C I O N E S"),(AL17))))</formula>
    </cfRule>
  </conditionalFormatting>
  <conditionalFormatting sqref="AL17">
    <cfRule type="containsText" dxfId="4" priority="1220" operator="containsText" text="Vacaciones">
      <formula>NOT(ISERROR(SEARCH(("Vacaciones"),(AL17))))</formula>
    </cfRule>
  </conditionalFormatting>
  <conditionalFormatting sqref="AL17">
    <cfRule type="containsText" dxfId="6" priority="1221" operator="containsText" text="JuB">
      <formula>NOT(ISERROR(SEARCH(("JuB"),(AL17))))</formula>
    </cfRule>
  </conditionalFormatting>
  <conditionalFormatting sqref="AL17">
    <cfRule type="containsText" dxfId="6" priority="1222" operator="containsText" text="JuC">
      <formula>NOT(ISERROR(SEARCH(("JuC"),(AL17))))</formula>
    </cfRule>
  </conditionalFormatting>
  <conditionalFormatting sqref="AL17">
    <cfRule type="containsText" dxfId="5" priority="1223" operator="containsText" text="AP">
      <formula>NOT(ISERROR(SEARCH(("AP"),(AL17))))</formula>
    </cfRule>
  </conditionalFormatting>
  <conditionalFormatting sqref="AL17">
    <cfRule type="containsText" dxfId="6" priority="1224" operator="containsText" text="Ts">
      <formula>NOT(ISERROR(SEARCH(("Ts"),(AL17))))</formula>
    </cfRule>
  </conditionalFormatting>
  <conditionalFormatting sqref="AL17">
    <cfRule type="containsText" dxfId="12" priority="1225" operator="containsText" text="ex">
      <formula>NOT(ISERROR(SEARCH(("ex"),(AL17))))</formula>
    </cfRule>
  </conditionalFormatting>
  <conditionalFormatting sqref="AL17">
    <cfRule type="containsText" dxfId="6" priority="1226" operator="containsText" text="curso">
      <formula>NOT(ISERROR(SEARCH(("curso"),(AL17))))</formula>
    </cfRule>
  </conditionalFormatting>
  <conditionalFormatting sqref="AL17">
    <cfRule type="containsText" dxfId="13" priority="1227" operator="containsText" text="indisp">
      <formula>NOT(ISERROR(SEARCH(("indisp"),(AL17))))</formula>
    </cfRule>
  </conditionalFormatting>
  <conditionalFormatting sqref="AL17">
    <cfRule type="containsText" dxfId="4" priority="1228" operator="containsText" text="B A J A">
      <formula>NOT(ISERROR(SEARCH(("B A J A"),(AL17))))</formula>
    </cfRule>
  </conditionalFormatting>
  <conditionalFormatting sqref="AL17">
    <cfRule type="containsText" dxfId="4" priority="1229" operator="containsText" text="BAJA">
      <formula>NOT(ISERROR(SEARCH(("BAJA"),(AL17))))</formula>
    </cfRule>
  </conditionalFormatting>
  <conditionalFormatting sqref="AL17">
    <cfRule type="containsText" dxfId="4" priority="1230" operator="containsText" text="V A C A C I O N E S">
      <formula>NOT(ISERROR(SEARCH(("V A C A C I O N E S"),(AL17))))</formula>
    </cfRule>
  </conditionalFormatting>
  <conditionalFormatting sqref="AL17">
    <cfRule type="containsText" dxfId="4" priority="1231" operator="containsText" text="Vacaciones">
      <formula>NOT(ISERROR(SEARCH(("Vacaciones"),(AL17))))</formula>
    </cfRule>
  </conditionalFormatting>
  <conditionalFormatting sqref="AL17">
    <cfRule type="containsText" dxfId="6" priority="1232" operator="containsText" text="JuB">
      <formula>NOT(ISERROR(SEARCH(("JuB"),(AL17))))</formula>
    </cfRule>
  </conditionalFormatting>
  <conditionalFormatting sqref="AL17">
    <cfRule type="containsText" dxfId="6" priority="1233" operator="containsText" text="JuC">
      <formula>NOT(ISERROR(SEARCH(("JuC"),(AL17))))</formula>
    </cfRule>
  </conditionalFormatting>
  <conditionalFormatting sqref="AL17">
    <cfRule type="containsText" dxfId="5" priority="1234" operator="containsText" text="AP">
      <formula>NOT(ISERROR(SEARCH(("AP"),(AL17))))</formula>
    </cfRule>
  </conditionalFormatting>
  <conditionalFormatting sqref="AL17">
    <cfRule type="containsText" dxfId="6" priority="1235" operator="containsText" text="Ts">
      <formula>NOT(ISERROR(SEARCH(("Ts"),(AL17))))</formula>
    </cfRule>
  </conditionalFormatting>
  <conditionalFormatting sqref="AL17">
    <cfRule type="containsText" dxfId="7" priority="1236" operator="containsText" text="D">
      <formula>NOT(ISERROR(SEARCH(("D"),(AL17))))</formula>
    </cfRule>
  </conditionalFormatting>
  <conditionalFormatting sqref="AL17">
    <cfRule type="containsText" dxfId="8" priority="1237" operator="containsText" text="3">
      <formula>NOT(ISERROR(SEARCH(("3"),(AL17))))</formula>
    </cfRule>
  </conditionalFormatting>
  <conditionalFormatting sqref="AL17">
    <cfRule type="containsText" dxfId="9" priority="1238" operator="containsText" text="2">
      <formula>NOT(ISERROR(SEARCH(("2"),(AL17))))</formula>
    </cfRule>
  </conditionalFormatting>
  <conditionalFormatting sqref="AL17">
    <cfRule type="containsText" dxfId="10" priority="1239" operator="containsText" text="1">
      <formula>NOT(ISERROR(SEARCH(("1"),(AL17))))</formula>
    </cfRule>
  </conditionalFormatting>
  <conditionalFormatting sqref="AL17">
    <cfRule type="containsText" dxfId="10" priority="1240" operator="containsText" text="L">
      <formula>NOT(ISERROR(SEARCH(("L"),(AL17))))</formula>
    </cfRule>
  </conditionalFormatting>
  <conditionalFormatting sqref="AM17">
    <cfRule type="containsText" dxfId="12" priority="1241" operator="containsText" text="ex">
      <formula>NOT(ISERROR(SEARCH(("ex"),(AM17))))</formula>
    </cfRule>
  </conditionalFormatting>
  <conditionalFormatting sqref="AM17">
    <cfRule type="containsText" dxfId="6" priority="1242" operator="containsText" text="curso">
      <formula>NOT(ISERROR(SEARCH(("curso"),(AM17))))</formula>
    </cfRule>
  </conditionalFormatting>
  <conditionalFormatting sqref="AM17">
    <cfRule type="containsText" dxfId="13" priority="1243" operator="containsText" text="indisp">
      <formula>NOT(ISERROR(SEARCH(("indisp"),(AM17))))</formula>
    </cfRule>
  </conditionalFormatting>
  <conditionalFormatting sqref="AM17">
    <cfRule type="containsText" dxfId="4" priority="1244" operator="containsText" text="B A J A">
      <formula>NOT(ISERROR(SEARCH(("B A J A"),(AM17))))</formula>
    </cfRule>
  </conditionalFormatting>
  <conditionalFormatting sqref="AM17">
    <cfRule type="containsText" dxfId="4" priority="1245" operator="containsText" text="BAJA">
      <formula>NOT(ISERROR(SEARCH(("BAJA"),(AM17))))</formula>
    </cfRule>
  </conditionalFormatting>
  <conditionalFormatting sqref="AM17">
    <cfRule type="containsText" dxfId="4" priority="1246" operator="containsText" text="V A C A C I O N E S">
      <formula>NOT(ISERROR(SEARCH(("V A C A C I O N E S"),(AM17))))</formula>
    </cfRule>
  </conditionalFormatting>
  <conditionalFormatting sqref="AM17">
    <cfRule type="containsText" dxfId="4" priority="1247" operator="containsText" text="Vacaciones">
      <formula>NOT(ISERROR(SEARCH(("Vacaciones"),(AM17))))</formula>
    </cfRule>
  </conditionalFormatting>
  <conditionalFormatting sqref="AM17">
    <cfRule type="containsText" dxfId="6" priority="1248" operator="containsText" text="JuB">
      <formula>NOT(ISERROR(SEARCH(("JuB"),(AM17))))</formula>
    </cfRule>
  </conditionalFormatting>
  <conditionalFormatting sqref="AM17">
    <cfRule type="containsText" dxfId="6" priority="1249" operator="containsText" text="JuC">
      <formula>NOT(ISERROR(SEARCH(("JuC"),(AM17))))</formula>
    </cfRule>
  </conditionalFormatting>
  <conditionalFormatting sqref="AM17">
    <cfRule type="containsText" dxfId="5" priority="1250" operator="containsText" text="AP">
      <formula>NOT(ISERROR(SEARCH(("AP"),(AM17))))</formula>
    </cfRule>
  </conditionalFormatting>
  <conditionalFormatting sqref="AM17">
    <cfRule type="containsText" dxfId="6" priority="1251" operator="containsText" text="Ts">
      <formula>NOT(ISERROR(SEARCH(("Ts"),(AM17))))</formula>
    </cfRule>
  </conditionalFormatting>
  <conditionalFormatting sqref="AM17">
    <cfRule type="containsText" dxfId="12" priority="1252" operator="containsText" text="ex">
      <formula>NOT(ISERROR(SEARCH(("ex"),(AM17))))</formula>
    </cfRule>
  </conditionalFormatting>
  <conditionalFormatting sqref="AM17">
    <cfRule type="containsText" dxfId="6" priority="1253" operator="containsText" text="curso">
      <formula>NOT(ISERROR(SEARCH(("curso"),(AM17))))</formula>
    </cfRule>
  </conditionalFormatting>
  <conditionalFormatting sqref="AM17">
    <cfRule type="containsText" dxfId="13" priority="1254" operator="containsText" text="indisp">
      <formula>NOT(ISERROR(SEARCH(("indisp"),(AM17))))</formula>
    </cfRule>
  </conditionalFormatting>
  <conditionalFormatting sqref="AM17">
    <cfRule type="containsText" dxfId="4" priority="1255" operator="containsText" text="B A J A">
      <formula>NOT(ISERROR(SEARCH(("B A J A"),(AM17))))</formula>
    </cfRule>
  </conditionalFormatting>
  <conditionalFormatting sqref="AM17">
    <cfRule type="containsText" dxfId="4" priority="1256" operator="containsText" text="BAJA">
      <formula>NOT(ISERROR(SEARCH(("BAJA"),(AM17))))</formula>
    </cfRule>
  </conditionalFormatting>
  <conditionalFormatting sqref="AM17">
    <cfRule type="containsText" dxfId="4" priority="1257" operator="containsText" text="V A C A C I O N E S">
      <formula>NOT(ISERROR(SEARCH(("V A C A C I O N E S"),(AM17))))</formula>
    </cfRule>
  </conditionalFormatting>
  <conditionalFormatting sqref="AM17">
    <cfRule type="containsText" dxfId="4" priority="1258" operator="containsText" text="Vacaciones">
      <formula>NOT(ISERROR(SEARCH(("Vacaciones"),(AM17))))</formula>
    </cfRule>
  </conditionalFormatting>
  <conditionalFormatting sqref="AM17">
    <cfRule type="containsText" dxfId="6" priority="1259" operator="containsText" text="JuB">
      <formula>NOT(ISERROR(SEARCH(("JuB"),(AM17))))</formula>
    </cfRule>
  </conditionalFormatting>
  <conditionalFormatting sqref="AM17">
    <cfRule type="containsText" dxfId="6" priority="1260" operator="containsText" text="JuC">
      <formula>NOT(ISERROR(SEARCH(("JuC"),(AM17))))</formula>
    </cfRule>
  </conditionalFormatting>
  <conditionalFormatting sqref="AM17">
    <cfRule type="containsText" dxfId="5" priority="1261" operator="containsText" text="AP">
      <formula>NOT(ISERROR(SEARCH(("AP"),(AM17))))</formula>
    </cfRule>
  </conditionalFormatting>
  <conditionalFormatting sqref="AM17">
    <cfRule type="containsText" dxfId="6" priority="1262" operator="containsText" text="Ts">
      <formula>NOT(ISERROR(SEARCH(("Ts"),(AM17))))</formula>
    </cfRule>
  </conditionalFormatting>
  <conditionalFormatting sqref="AM17">
    <cfRule type="containsText" dxfId="7" priority="1263" operator="containsText" text="D">
      <formula>NOT(ISERROR(SEARCH(("D"),(AM17))))</formula>
    </cfRule>
  </conditionalFormatting>
  <conditionalFormatting sqref="AM17">
    <cfRule type="containsText" dxfId="8" priority="1264" operator="containsText" text="3">
      <formula>NOT(ISERROR(SEARCH(("3"),(AM17))))</formula>
    </cfRule>
  </conditionalFormatting>
  <conditionalFormatting sqref="AM17">
    <cfRule type="containsText" dxfId="9" priority="1265" operator="containsText" text="2">
      <formula>NOT(ISERROR(SEARCH(("2"),(AM17))))</formula>
    </cfRule>
  </conditionalFormatting>
  <conditionalFormatting sqref="AM17">
    <cfRule type="containsText" dxfId="10" priority="1266" operator="containsText" text="1">
      <formula>NOT(ISERROR(SEARCH(("1"),(AM17))))</formula>
    </cfRule>
  </conditionalFormatting>
  <conditionalFormatting sqref="AM17">
    <cfRule type="containsText" dxfId="10" priority="1267" operator="containsText" text="L">
      <formula>NOT(ISERROR(SEARCH(("L"),(AM17))))</formula>
    </cfRule>
  </conditionalFormatting>
  <conditionalFormatting sqref="K17">
    <cfRule type="containsText" dxfId="12" priority="1268" operator="containsText" text="ex">
      <formula>NOT(ISERROR(SEARCH(("ex"),(K17))))</formula>
    </cfRule>
  </conditionalFormatting>
  <conditionalFormatting sqref="K17">
    <cfRule type="containsText" dxfId="6" priority="1269" operator="containsText" text="curso">
      <formula>NOT(ISERROR(SEARCH(("curso"),(K17))))</formula>
    </cfRule>
  </conditionalFormatting>
  <conditionalFormatting sqref="K17">
    <cfRule type="containsText" dxfId="13" priority="1270" operator="containsText" text="indisp">
      <formula>NOT(ISERROR(SEARCH(("indisp"),(K17))))</formula>
    </cfRule>
  </conditionalFormatting>
  <conditionalFormatting sqref="K17">
    <cfRule type="containsText" dxfId="4" priority="1271" operator="containsText" text="B A J A">
      <formula>NOT(ISERROR(SEARCH(("B A J A"),(K17))))</formula>
    </cfRule>
  </conditionalFormatting>
  <conditionalFormatting sqref="K17">
    <cfRule type="containsText" dxfId="4" priority="1272" operator="containsText" text="BAJA">
      <formula>NOT(ISERROR(SEARCH(("BAJA"),(K17))))</formula>
    </cfRule>
  </conditionalFormatting>
  <conditionalFormatting sqref="K17">
    <cfRule type="containsText" dxfId="4" priority="1273" operator="containsText" text="V A C A C I O N E S">
      <formula>NOT(ISERROR(SEARCH(("V A C A C I O N E S"),(K17))))</formula>
    </cfRule>
  </conditionalFormatting>
  <conditionalFormatting sqref="K17">
    <cfRule type="containsText" dxfId="4" priority="1274" operator="containsText" text="Vacaciones">
      <formula>NOT(ISERROR(SEARCH(("Vacaciones"),(K17))))</formula>
    </cfRule>
  </conditionalFormatting>
  <conditionalFormatting sqref="K17">
    <cfRule type="containsText" dxfId="6" priority="1275" operator="containsText" text="JuB">
      <formula>NOT(ISERROR(SEARCH(("JuB"),(K17))))</formula>
    </cfRule>
  </conditionalFormatting>
  <conditionalFormatting sqref="K17">
    <cfRule type="containsText" dxfId="6" priority="1276" operator="containsText" text="JuC">
      <formula>NOT(ISERROR(SEARCH(("JuC"),(K17))))</formula>
    </cfRule>
  </conditionalFormatting>
  <conditionalFormatting sqref="K17">
    <cfRule type="containsText" dxfId="5" priority="1277" operator="containsText" text="AP">
      <formula>NOT(ISERROR(SEARCH(("AP"),(K17))))</formula>
    </cfRule>
  </conditionalFormatting>
  <conditionalFormatting sqref="K17">
    <cfRule type="containsText" dxfId="6" priority="1278" operator="containsText" text="Ts">
      <formula>NOT(ISERROR(SEARCH(("Ts"),(K17))))</formula>
    </cfRule>
  </conditionalFormatting>
  <conditionalFormatting sqref="K17">
    <cfRule type="containsText" dxfId="12" priority="1279" operator="containsText" text="ex">
      <formula>NOT(ISERROR(SEARCH(("ex"),(K17))))</formula>
    </cfRule>
  </conditionalFormatting>
  <conditionalFormatting sqref="K17">
    <cfRule type="containsText" dxfId="6" priority="1280" operator="containsText" text="curso">
      <formula>NOT(ISERROR(SEARCH(("curso"),(K17))))</formula>
    </cfRule>
  </conditionalFormatting>
  <conditionalFormatting sqref="K17">
    <cfRule type="containsText" dxfId="13" priority="1281" operator="containsText" text="indisp">
      <formula>NOT(ISERROR(SEARCH(("indisp"),(K17))))</formula>
    </cfRule>
  </conditionalFormatting>
  <conditionalFormatting sqref="K17">
    <cfRule type="containsText" dxfId="4" priority="1282" operator="containsText" text="B A J A">
      <formula>NOT(ISERROR(SEARCH(("B A J A"),(K17))))</formula>
    </cfRule>
  </conditionalFormatting>
  <conditionalFormatting sqref="K17">
    <cfRule type="containsText" dxfId="4" priority="1283" operator="containsText" text="BAJA">
      <formula>NOT(ISERROR(SEARCH(("BAJA"),(K17))))</formula>
    </cfRule>
  </conditionalFormatting>
  <conditionalFormatting sqref="K17">
    <cfRule type="containsText" dxfId="4" priority="1284" operator="containsText" text="V A C A C I O N E S">
      <formula>NOT(ISERROR(SEARCH(("V A C A C I O N E S"),(K17))))</formula>
    </cfRule>
  </conditionalFormatting>
  <conditionalFormatting sqref="K17">
    <cfRule type="containsText" dxfId="4" priority="1285" operator="containsText" text="Vacaciones">
      <formula>NOT(ISERROR(SEARCH(("Vacaciones"),(K17))))</formula>
    </cfRule>
  </conditionalFormatting>
  <conditionalFormatting sqref="K17">
    <cfRule type="containsText" dxfId="6" priority="1286" operator="containsText" text="JuB">
      <formula>NOT(ISERROR(SEARCH(("JuB"),(K17))))</formula>
    </cfRule>
  </conditionalFormatting>
  <conditionalFormatting sqref="K17">
    <cfRule type="containsText" dxfId="6" priority="1287" operator="containsText" text="JuC">
      <formula>NOT(ISERROR(SEARCH(("JuC"),(K17))))</formula>
    </cfRule>
  </conditionalFormatting>
  <conditionalFormatting sqref="K17">
    <cfRule type="containsText" dxfId="5" priority="1288" operator="containsText" text="AP">
      <formula>NOT(ISERROR(SEARCH(("AP"),(K17))))</formula>
    </cfRule>
  </conditionalFormatting>
  <conditionalFormatting sqref="K17">
    <cfRule type="containsText" dxfId="6" priority="1289" operator="containsText" text="Ts">
      <formula>NOT(ISERROR(SEARCH(("Ts"),(K17))))</formula>
    </cfRule>
  </conditionalFormatting>
  <conditionalFormatting sqref="K17">
    <cfRule type="containsText" dxfId="7" priority="1290" operator="containsText" text="D">
      <formula>NOT(ISERROR(SEARCH(("D"),(K17))))</formula>
    </cfRule>
  </conditionalFormatting>
  <conditionalFormatting sqref="K17">
    <cfRule type="containsText" dxfId="8" priority="1291" operator="containsText" text="3">
      <formula>NOT(ISERROR(SEARCH(("3"),(K17))))</formula>
    </cfRule>
  </conditionalFormatting>
  <conditionalFormatting sqref="K17">
    <cfRule type="containsText" dxfId="9" priority="1292" operator="containsText" text="2">
      <formula>NOT(ISERROR(SEARCH(("2"),(K17))))</formula>
    </cfRule>
  </conditionalFormatting>
  <conditionalFormatting sqref="K17">
    <cfRule type="containsText" dxfId="10" priority="1293" operator="containsText" text="1">
      <formula>NOT(ISERROR(SEARCH(("1"),(K17))))</formula>
    </cfRule>
  </conditionalFormatting>
  <conditionalFormatting sqref="K17">
    <cfRule type="containsText" dxfId="10" priority="1294" operator="containsText" text="L">
      <formula>NOT(ISERROR(SEARCH(("L"),(K17))))</formula>
    </cfRule>
  </conditionalFormatting>
  <conditionalFormatting sqref="L17">
    <cfRule type="containsText" dxfId="12" priority="1295" operator="containsText" text="ex">
      <formula>NOT(ISERROR(SEARCH(("ex"),(L17))))</formula>
    </cfRule>
  </conditionalFormatting>
  <conditionalFormatting sqref="L17">
    <cfRule type="containsText" dxfId="6" priority="1296" operator="containsText" text="curso">
      <formula>NOT(ISERROR(SEARCH(("curso"),(L17))))</formula>
    </cfRule>
  </conditionalFormatting>
  <conditionalFormatting sqref="L17">
    <cfRule type="containsText" dxfId="13" priority="1297" operator="containsText" text="indisp">
      <formula>NOT(ISERROR(SEARCH(("indisp"),(L17))))</formula>
    </cfRule>
  </conditionalFormatting>
  <conditionalFormatting sqref="L17">
    <cfRule type="containsText" dxfId="4" priority="1298" operator="containsText" text="B A J A">
      <formula>NOT(ISERROR(SEARCH(("B A J A"),(L17))))</formula>
    </cfRule>
  </conditionalFormatting>
  <conditionalFormatting sqref="L17">
    <cfRule type="containsText" dxfId="4" priority="1299" operator="containsText" text="BAJA">
      <formula>NOT(ISERROR(SEARCH(("BAJA"),(L17))))</formula>
    </cfRule>
  </conditionalFormatting>
  <conditionalFormatting sqref="L17">
    <cfRule type="containsText" dxfId="4" priority="1300" operator="containsText" text="V A C A C I O N E S">
      <formula>NOT(ISERROR(SEARCH(("V A C A C I O N E S"),(L17))))</formula>
    </cfRule>
  </conditionalFormatting>
  <conditionalFormatting sqref="L17">
    <cfRule type="containsText" dxfId="4" priority="1301" operator="containsText" text="Vacaciones">
      <formula>NOT(ISERROR(SEARCH(("Vacaciones"),(L17))))</formula>
    </cfRule>
  </conditionalFormatting>
  <conditionalFormatting sqref="L17">
    <cfRule type="containsText" dxfId="6" priority="1302" operator="containsText" text="JuB">
      <formula>NOT(ISERROR(SEARCH(("JuB"),(L17))))</formula>
    </cfRule>
  </conditionalFormatting>
  <conditionalFormatting sqref="L17">
    <cfRule type="containsText" dxfId="6" priority="1303" operator="containsText" text="JuC">
      <formula>NOT(ISERROR(SEARCH(("JuC"),(L17))))</formula>
    </cfRule>
  </conditionalFormatting>
  <conditionalFormatting sqref="L17">
    <cfRule type="containsText" dxfId="5" priority="1304" operator="containsText" text="AP">
      <formula>NOT(ISERROR(SEARCH(("AP"),(L17))))</formula>
    </cfRule>
  </conditionalFormatting>
  <conditionalFormatting sqref="L17">
    <cfRule type="containsText" dxfId="6" priority="1305" operator="containsText" text="Ts">
      <formula>NOT(ISERROR(SEARCH(("Ts"),(L17))))</formula>
    </cfRule>
  </conditionalFormatting>
  <conditionalFormatting sqref="L17">
    <cfRule type="containsText" dxfId="12" priority="1306" operator="containsText" text="ex">
      <formula>NOT(ISERROR(SEARCH(("ex"),(L17))))</formula>
    </cfRule>
  </conditionalFormatting>
  <conditionalFormatting sqref="L17">
    <cfRule type="containsText" dxfId="6" priority="1307" operator="containsText" text="curso">
      <formula>NOT(ISERROR(SEARCH(("curso"),(L17))))</formula>
    </cfRule>
  </conditionalFormatting>
  <conditionalFormatting sqref="L17">
    <cfRule type="containsText" dxfId="13" priority="1308" operator="containsText" text="indisp">
      <formula>NOT(ISERROR(SEARCH(("indisp"),(L17))))</formula>
    </cfRule>
  </conditionalFormatting>
  <conditionalFormatting sqref="L17">
    <cfRule type="containsText" dxfId="4" priority="1309" operator="containsText" text="B A J A">
      <formula>NOT(ISERROR(SEARCH(("B A J A"),(L17))))</formula>
    </cfRule>
  </conditionalFormatting>
  <conditionalFormatting sqref="L17">
    <cfRule type="containsText" dxfId="4" priority="1310" operator="containsText" text="BAJA">
      <formula>NOT(ISERROR(SEARCH(("BAJA"),(L17))))</formula>
    </cfRule>
  </conditionalFormatting>
  <conditionalFormatting sqref="L17">
    <cfRule type="containsText" dxfId="4" priority="1311" operator="containsText" text="V A C A C I O N E S">
      <formula>NOT(ISERROR(SEARCH(("V A C A C I O N E S"),(L17))))</formula>
    </cfRule>
  </conditionalFormatting>
  <conditionalFormatting sqref="L17">
    <cfRule type="containsText" dxfId="4" priority="1312" operator="containsText" text="Vacaciones">
      <formula>NOT(ISERROR(SEARCH(("Vacaciones"),(L17))))</formula>
    </cfRule>
  </conditionalFormatting>
  <conditionalFormatting sqref="L17">
    <cfRule type="containsText" dxfId="6" priority="1313" operator="containsText" text="JuB">
      <formula>NOT(ISERROR(SEARCH(("JuB"),(L17))))</formula>
    </cfRule>
  </conditionalFormatting>
  <conditionalFormatting sqref="L17">
    <cfRule type="containsText" dxfId="6" priority="1314" operator="containsText" text="JuC">
      <formula>NOT(ISERROR(SEARCH(("JuC"),(L17))))</formula>
    </cfRule>
  </conditionalFormatting>
  <conditionalFormatting sqref="L17">
    <cfRule type="containsText" dxfId="5" priority="1315" operator="containsText" text="AP">
      <formula>NOT(ISERROR(SEARCH(("AP"),(L17))))</formula>
    </cfRule>
  </conditionalFormatting>
  <conditionalFormatting sqref="L17">
    <cfRule type="containsText" dxfId="6" priority="1316" operator="containsText" text="Ts">
      <formula>NOT(ISERROR(SEARCH(("Ts"),(L17))))</formula>
    </cfRule>
  </conditionalFormatting>
  <conditionalFormatting sqref="L17">
    <cfRule type="containsText" dxfId="7" priority="1317" operator="containsText" text="D">
      <formula>NOT(ISERROR(SEARCH(("D"),(L17))))</formula>
    </cfRule>
  </conditionalFormatting>
  <conditionalFormatting sqref="L17">
    <cfRule type="containsText" dxfId="8" priority="1318" operator="containsText" text="3">
      <formula>NOT(ISERROR(SEARCH(("3"),(L17))))</formula>
    </cfRule>
  </conditionalFormatting>
  <conditionalFormatting sqref="L17">
    <cfRule type="containsText" dxfId="9" priority="1319" operator="containsText" text="2">
      <formula>NOT(ISERROR(SEARCH(("2"),(L17))))</formula>
    </cfRule>
  </conditionalFormatting>
  <conditionalFormatting sqref="L17">
    <cfRule type="containsText" dxfId="10" priority="1320" operator="containsText" text="1">
      <formula>NOT(ISERROR(SEARCH(("1"),(L17))))</formula>
    </cfRule>
  </conditionalFormatting>
  <conditionalFormatting sqref="L17">
    <cfRule type="containsText" dxfId="10" priority="1321" operator="containsText" text="L">
      <formula>NOT(ISERROR(SEARCH(("L"),(L17))))</formula>
    </cfRule>
  </conditionalFormatting>
  <conditionalFormatting sqref="AC17">
    <cfRule type="containsText" dxfId="12" priority="1322" operator="containsText" text="ex">
      <formula>NOT(ISERROR(SEARCH(("ex"),(AC17))))</formula>
    </cfRule>
  </conditionalFormatting>
  <conditionalFormatting sqref="AC17">
    <cfRule type="containsText" dxfId="6" priority="1323" operator="containsText" text="curso">
      <formula>NOT(ISERROR(SEARCH(("curso"),(AC17))))</formula>
    </cfRule>
  </conditionalFormatting>
  <conditionalFormatting sqref="AC17">
    <cfRule type="containsText" dxfId="13" priority="1324" operator="containsText" text="indisp">
      <formula>NOT(ISERROR(SEARCH(("indisp"),(AC17))))</formula>
    </cfRule>
  </conditionalFormatting>
  <conditionalFormatting sqref="AC17">
    <cfRule type="containsText" dxfId="4" priority="1325" operator="containsText" text="B A J A">
      <formula>NOT(ISERROR(SEARCH(("B A J A"),(AC17))))</formula>
    </cfRule>
  </conditionalFormatting>
  <conditionalFormatting sqref="AC17">
    <cfRule type="containsText" dxfId="4" priority="1326" operator="containsText" text="BAJA">
      <formula>NOT(ISERROR(SEARCH(("BAJA"),(AC17))))</formula>
    </cfRule>
  </conditionalFormatting>
  <conditionalFormatting sqref="AC17">
    <cfRule type="containsText" dxfId="4" priority="1327" operator="containsText" text="V A C A C I O N E S">
      <formula>NOT(ISERROR(SEARCH(("V A C A C I O N E S"),(AC17))))</formula>
    </cfRule>
  </conditionalFormatting>
  <conditionalFormatting sqref="AC17">
    <cfRule type="containsText" dxfId="4" priority="1328" operator="containsText" text="Vacaciones">
      <formula>NOT(ISERROR(SEARCH(("Vacaciones"),(AC17))))</formula>
    </cfRule>
  </conditionalFormatting>
  <conditionalFormatting sqref="AC17">
    <cfRule type="containsText" dxfId="6" priority="1329" operator="containsText" text="JuB">
      <formula>NOT(ISERROR(SEARCH(("JuB"),(AC17))))</formula>
    </cfRule>
  </conditionalFormatting>
  <conditionalFormatting sqref="AC17">
    <cfRule type="containsText" dxfId="6" priority="1330" operator="containsText" text="JuC">
      <formula>NOT(ISERROR(SEARCH(("JuC"),(AC17))))</formula>
    </cfRule>
  </conditionalFormatting>
  <conditionalFormatting sqref="AC17">
    <cfRule type="containsText" dxfId="5" priority="1331" operator="containsText" text="AP">
      <formula>NOT(ISERROR(SEARCH(("AP"),(AC17))))</formula>
    </cfRule>
  </conditionalFormatting>
  <conditionalFormatting sqref="AC17">
    <cfRule type="containsText" dxfId="6" priority="1332" operator="containsText" text="Ts">
      <formula>NOT(ISERROR(SEARCH(("Ts"),(AC17))))</formula>
    </cfRule>
  </conditionalFormatting>
  <conditionalFormatting sqref="AC17">
    <cfRule type="containsText" dxfId="12" priority="1333" operator="containsText" text="ex">
      <formula>NOT(ISERROR(SEARCH(("ex"),(AC17))))</formula>
    </cfRule>
  </conditionalFormatting>
  <conditionalFormatting sqref="AC17">
    <cfRule type="containsText" dxfId="6" priority="1334" operator="containsText" text="curso">
      <formula>NOT(ISERROR(SEARCH(("curso"),(AC17))))</formula>
    </cfRule>
  </conditionalFormatting>
  <conditionalFormatting sqref="AC17">
    <cfRule type="containsText" dxfId="13" priority="1335" operator="containsText" text="indisp">
      <formula>NOT(ISERROR(SEARCH(("indisp"),(AC17))))</formula>
    </cfRule>
  </conditionalFormatting>
  <conditionalFormatting sqref="AC17">
    <cfRule type="containsText" dxfId="4" priority="1336" operator="containsText" text="B A J A">
      <formula>NOT(ISERROR(SEARCH(("B A J A"),(AC17))))</formula>
    </cfRule>
  </conditionalFormatting>
  <conditionalFormatting sqref="AC17">
    <cfRule type="containsText" dxfId="4" priority="1337" operator="containsText" text="BAJA">
      <formula>NOT(ISERROR(SEARCH(("BAJA"),(AC17))))</formula>
    </cfRule>
  </conditionalFormatting>
  <conditionalFormatting sqref="AC17">
    <cfRule type="containsText" dxfId="4" priority="1338" operator="containsText" text="V A C A C I O N E S">
      <formula>NOT(ISERROR(SEARCH(("V A C A C I O N E S"),(AC17))))</formula>
    </cfRule>
  </conditionalFormatting>
  <conditionalFormatting sqref="AC17">
    <cfRule type="containsText" dxfId="4" priority="1339" operator="containsText" text="Vacaciones">
      <formula>NOT(ISERROR(SEARCH(("Vacaciones"),(AC17))))</formula>
    </cfRule>
  </conditionalFormatting>
  <conditionalFormatting sqref="AC17">
    <cfRule type="containsText" dxfId="6" priority="1340" operator="containsText" text="JuB">
      <formula>NOT(ISERROR(SEARCH(("JuB"),(AC17))))</formula>
    </cfRule>
  </conditionalFormatting>
  <conditionalFormatting sqref="AC17">
    <cfRule type="containsText" dxfId="6" priority="1341" operator="containsText" text="JuC">
      <formula>NOT(ISERROR(SEARCH(("JuC"),(AC17))))</formula>
    </cfRule>
  </conditionalFormatting>
  <conditionalFormatting sqref="AC17">
    <cfRule type="containsText" dxfId="5" priority="1342" operator="containsText" text="AP">
      <formula>NOT(ISERROR(SEARCH(("AP"),(AC17))))</formula>
    </cfRule>
  </conditionalFormatting>
  <conditionalFormatting sqref="AC17">
    <cfRule type="containsText" dxfId="6" priority="1343" operator="containsText" text="Ts">
      <formula>NOT(ISERROR(SEARCH(("Ts"),(AC17))))</formula>
    </cfRule>
  </conditionalFormatting>
  <conditionalFormatting sqref="AC17">
    <cfRule type="containsText" dxfId="7" priority="1344" operator="containsText" text="D">
      <formula>NOT(ISERROR(SEARCH(("D"),(AC17))))</formula>
    </cfRule>
  </conditionalFormatting>
  <conditionalFormatting sqref="AC17">
    <cfRule type="containsText" dxfId="8" priority="1345" operator="containsText" text="3">
      <formula>NOT(ISERROR(SEARCH(("3"),(AC17))))</formula>
    </cfRule>
  </conditionalFormatting>
  <conditionalFormatting sqref="AC17">
    <cfRule type="containsText" dxfId="9" priority="1346" operator="containsText" text="2">
      <formula>NOT(ISERROR(SEARCH(("2"),(AC17))))</formula>
    </cfRule>
  </conditionalFormatting>
  <conditionalFormatting sqref="AC17">
    <cfRule type="containsText" dxfId="10" priority="1347" operator="containsText" text="1">
      <formula>NOT(ISERROR(SEARCH(("1"),(AC17))))</formula>
    </cfRule>
  </conditionalFormatting>
  <conditionalFormatting sqref="AC17">
    <cfRule type="containsText" dxfId="10" priority="1348" operator="containsText" text="L">
      <formula>NOT(ISERROR(SEARCH(("L"),(AC17))))</formula>
    </cfRule>
  </conditionalFormatting>
  <conditionalFormatting sqref="Q29:S29">
    <cfRule type="containsText" dxfId="12" priority="1349" operator="containsText" text="ex">
      <formula>NOT(ISERROR(SEARCH(("ex"),(Q29))))</formula>
    </cfRule>
  </conditionalFormatting>
  <conditionalFormatting sqref="Q29:S29">
    <cfRule type="containsText" dxfId="6" priority="1350" operator="containsText" text="curso">
      <formula>NOT(ISERROR(SEARCH(("curso"),(Q29))))</formula>
    </cfRule>
  </conditionalFormatting>
  <conditionalFormatting sqref="Q29:S29">
    <cfRule type="containsText" dxfId="13" priority="1351" operator="containsText" text="indisp">
      <formula>NOT(ISERROR(SEARCH(("indisp"),(Q29))))</formula>
    </cfRule>
  </conditionalFormatting>
  <conditionalFormatting sqref="Q29:S29">
    <cfRule type="containsText" dxfId="4" priority="1352" operator="containsText" text="B A J A">
      <formula>NOT(ISERROR(SEARCH(("B A J A"),(Q29))))</formula>
    </cfRule>
  </conditionalFormatting>
  <conditionalFormatting sqref="Q29:S29">
    <cfRule type="containsText" dxfId="4" priority="1353" operator="containsText" text="BAJA">
      <formula>NOT(ISERROR(SEARCH(("BAJA"),(Q29))))</formula>
    </cfRule>
  </conditionalFormatting>
  <conditionalFormatting sqref="Q29:S29">
    <cfRule type="containsText" dxfId="4" priority="1354" operator="containsText" text="V A C A C I O N E S">
      <formula>NOT(ISERROR(SEARCH(("V A C A C I O N E S"),(Q29))))</formula>
    </cfRule>
  </conditionalFormatting>
  <conditionalFormatting sqref="Q29:S29">
    <cfRule type="containsText" dxfId="4" priority="1355" operator="containsText" text="Vacaciones">
      <formula>NOT(ISERROR(SEARCH(("Vacaciones"),(Q29))))</formula>
    </cfRule>
  </conditionalFormatting>
  <conditionalFormatting sqref="Q29:S29">
    <cfRule type="containsText" dxfId="6" priority="1356" operator="containsText" text="JuB">
      <formula>NOT(ISERROR(SEARCH(("JuB"),(Q29))))</formula>
    </cfRule>
  </conditionalFormatting>
  <conditionalFormatting sqref="Q29:S29">
    <cfRule type="containsText" dxfId="6" priority="1357" operator="containsText" text="JuC">
      <formula>NOT(ISERROR(SEARCH(("JuC"),(Q29))))</formula>
    </cfRule>
  </conditionalFormatting>
  <conditionalFormatting sqref="Q29:S29">
    <cfRule type="containsText" dxfId="5" priority="1358" operator="containsText" text="AP">
      <formula>NOT(ISERROR(SEARCH(("AP"),(Q29))))</formula>
    </cfRule>
  </conditionalFormatting>
  <conditionalFormatting sqref="Q29:S29">
    <cfRule type="containsText" dxfId="6" priority="1359" operator="containsText" text="Ts">
      <formula>NOT(ISERROR(SEARCH(("Ts"),(Q29))))</formula>
    </cfRule>
  </conditionalFormatting>
  <conditionalFormatting sqref="Q29:S29">
    <cfRule type="containsText" dxfId="12" priority="1360" operator="containsText" text="ex">
      <formula>NOT(ISERROR(SEARCH(("ex"),(Q29))))</formula>
    </cfRule>
  </conditionalFormatting>
  <conditionalFormatting sqref="Q29:S29">
    <cfRule type="containsText" dxfId="6" priority="1361" operator="containsText" text="curso">
      <formula>NOT(ISERROR(SEARCH(("curso"),(Q29))))</formula>
    </cfRule>
  </conditionalFormatting>
  <conditionalFormatting sqref="Q29:S29">
    <cfRule type="containsText" dxfId="13" priority="1362" operator="containsText" text="indisp">
      <formula>NOT(ISERROR(SEARCH(("indisp"),(Q29))))</formula>
    </cfRule>
  </conditionalFormatting>
  <conditionalFormatting sqref="Q29:S29">
    <cfRule type="containsText" dxfId="4" priority="1363" operator="containsText" text="B A J A">
      <formula>NOT(ISERROR(SEARCH(("B A J A"),(Q29))))</formula>
    </cfRule>
  </conditionalFormatting>
  <conditionalFormatting sqref="Q29:S29">
    <cfRule type="containsText" dxfId="4" priority="1364" operator="containsText" text="BAJA">
      <formula>NOT(ISERROR(SEARCH(("BAJA"),(Q29))))</formula>
    </cfRule>
  </conditionalFormatting>
  <conditionalFormatting sqref="Q29:S29">
    <cfRule type="containsText" dxfId="4" priority="1365" operator="containsText" text="V A C A C I O N E S">
      <formula>NOT(ISERROR(SEARCH(("V A C A C I O N E S"),(Q29))))</formula>
    </cfRule>
  </conditionalFormatting>
  <conditionalFormatting sqref="Q29:S29">
    <cfRule type="containsText" dxfId="4" priority="1366" operator="containsText" text="Vacaciones">
      <formula>NOT(ISERROR(SEARCH(("Vacaciones"),(Q29))))</formula>
    </cfRule>
  </conditionalFormatting>
  <conditionalFormatting sqref="Q29:S29">
    <cfRule type="containsText" dxfId="6" priority="1367" operator="containsText" text="JuB">
      <formula>NOT(ISERROR(SEARCH(("JuB"),(Q29))))</formula>
    </cfRule>
  </conditionalFormatting>
  <conditionalFormatting sqref="Q29:S29">
    <cfRule type="containsText" dxfId="6" priority="1368" operator="containsText" text="JuC">
      <formula>NOT(ISERROR(SEARCH(("JuC"),(Q29))))</formula>
    </cfRule>
  </conditionalFormatting>
  <conditionalFormatting sqref="Q29:S29">
    <cfRule type="containsText" dxfId="5" priority="1369" operator="containsText" text="AP">
      <formula>NOT(ISERROR(SEARCH(("AP"),(Q29))))</formula>
    </cfRule>
  </conditionalFormatting>
  <conditionalFormatting sqref="Q29:S29">
    <cfRule type="containsText" dxfId="6" priority="1370" operator="containsText" text="Ts">
      <formula>NOT(ISERROR(SEARCH(("Ts"),(Q29))))</formula>
    </cfRule>
  </conditionalFormatting>
  <conditionalFormatting sqref="Q29:S29">
    <cfRule type="containsText" dxfId="9" priority="1371" operator="containsText" text="2">
      <formula>NOT(ISERROR(SEARCH(("2"),(Q29))))</formula>
    </cfRule>
  </conditionalFormatting>
  <conditionalFormatting sqref="Q29:S29">
    <cfRule type="containsText" dxfId="10" priority="1372" operator="containsText" text="1">
      <formula>NOT(ISERROR(SEARCH(("1"),(Q29))))</formula>
    </cfRule>
  </conditionalFormatting>
  <conditionalFormatting sqref="Q29:S29">
    <cfRule type="containsText" dxfId="10" priority="1373" operator="containsText" text="L">
      <formula>NOT(ISERROR(SEARCH(("L"),(Q29))))</formula>
    </cfRule>
  </conditionalFormatting>
  <conditionalFormatting sqref="Q29:S29">
    <cfRule type="containsText" dxfId="7" priority="1374" operator="containsText" text="D">
      <formula>NOT(ISERROR(SEARCH(("D"),(Q29))))</formula>
    </cfRule>
  </conditionalFormatting>
  <conditionalFormatting sqref="Q29:S29">
    <cfRule type="containsText" dxfId="8" priority="1375" operator="containsText" text="3">
      <formula>NOT(ISERROR(SEARCH(("3"),(Q29))))</formula>
    </cfRule>
  </conditionalFormatting>
  <conditionalFormatting sqref="J39:L39">
    <cfRule type="containsText" dxfId="12" priority="1376" operator="containsText" text="ex">
      <formula>NOT(ISERROR(SEARCH(("ex"),(J39))))</formula>
    </cfRule>
  </conditionalFormatting>
  <conditionalFormatting sqref="J39:L39">
    <cfRule type="containsText" dxfId="6" priority="1377" operator="containsText" text="curso">
      <formula>NOT(ISERROR(SEARCH(("curso"),(J39))))</formula>
    </cfRule>
  </conditionalFormatting>
  <conditionalFormatting sqref="J39:L39">
    <cfRule type="containsText" dxfId="13" priority="1378" operator="containsText" text="indisp">
      <formula>NOT(ISERROR(SEARCH(("indisp"),(J39))))</formula>
    </cfRule>
  </conditionalFormatting>
  <conditionalFormatting sqref="J39:L39">
    <cfRule type="containsText" dxfId="4" priority="1379" operator="containsText" text="B A J A">
      <formula>NOT(ISERROR(SEARCH(("B A J A"),(J39))))</formula>
    </cfRule>
  </conditionalFormatting>
  <conditionalFormatting sqref="J39:L39">
    <cfRule type="containsText" dxfId="4" priority="1380" operator="containsText" text="BAJA">
      <formula>NOT(ISERROR(SEARCH(("BAJA"),(J39))))</formula>
    </cfRule>
  </conditionalFormatting>
  <conditionalFormatting sqref="J39:L39">
    <cfRule type="containsText" dxfId="4" priority="1381" operator="containsText" text="V A C A C I O N E S">
      <formula>NOT(ISERROR(SEARCH(("V A C A C I O N E S"),(J39))))</formula>
    </cfRule>
  </conditionalFormatting>
  <conditionalFormatting sqref="J39:L39">
    <cfRule type="containsText" dxfId="4" priority="1382" operator="containsText" text="Vacaciones">
      <formula>NOT(ISERROR(SEARCH(("Vacaciones"),(J39))))</formula>
    </cfRule>
  </conditionalFormatting>
  <conditionalFormatting sqref="J39:L39">
    <cfRule type="containsText" dxfId="6" priority="1383" operator="containsText" text="JuB">
      <formula>NOT(ISERROR(SEARCH(("JuB"),(J39))))</formula>
    </cfRule>
  </conditionalFormatting>
  <conditionalFormatting sqref="J39:L39">
    <cfRule type="containsText" dxfId="6" priority="1384" operator="containsText" text="JuC">
      <formula>NOT(ISERROR(SEARCH(("JuC"),(J39))))</formula>
    </cfRule>
  </conditionalFormatting>
  <conditionalFormatting sqref="J39:L39">
    <cfRule type="containsText" dxfId="5" priority="1385" operator="containsText" text="AP">
      <formula>NOT(ISERROR(SEARCH(("AP"),(J39))))</formula>
    </cfRule>
  </conditionalFormatting>
  <conditionalFormatting sqref="J39:L39">
    <cfRule type="containsText" dxfId="6" priority="1386" operator="containsText" text="Ts">
      <formula>NOT(ISERROR(SEARCH(("Ts"),(J39))))</formula>
    </cfRule>
  </conditionalFormatting>
  <conditionalFormatting sqref="J39:L39">
    <cfRule type="containsText" dxfId="12" priority="1387" operator="containsText" text="ex">
      <formula>NOT(ISERROR(SEARCH(("ex"),(J39))))</formula>
    </cfRule>
  </conditionalFormatting>
  <conditionalFormatting sqref="J39:L39">
    <cfRule type="containsText" dxfId="6" priority="1388" operator="containsText" text="curso">
      <formula>NOT(ISERROR(SEARCH(("curso"),(J39))))</formula>
    </cfRule>
  </conditionalFormatting>
  <conditionalFormatting sqref="J39:L39">
    <cfRule type="containsText" dxfId="13" priority="1389" operator="containsText" text="indisp">
      <formula>NOT(ISERROR(SEARCH(("indisp"),(J39))))</formula>
    </cfRule>
  </conditionalFormatting>
  <conditionalFormatting sqref="J39:L39">
    <cfRule type="containsText" dxfId="4" priority="1390" operator="containsText" text="B A J A">
      <formula>NOT(ISERROR(SEARCH(("B A J A"),(J39))))</formula>
    </cfRule>
  </conditionalFormatting>
  <conditionalFormatting sqref="J39:L39">
    <cfRule type="containsText" dxfId="4" priority="1391" operator="containsText" text="BAJA">
      <formula>NOT(ISERROR(SEARCH(("BAJA"),(J39))))</formula>
    </cfRule>
  </conditionalFormatting>
  <conditionalFormatting sqref="J39:L39">
    <cfRule type="containsText" dxfId="4" priority="1392" operator="containsText" text="V A C A C I O N E S">
      <formula>NOT(ISERROR(SEARCH(("V A C A C I O N E S"),(J39))))</formula>
    </cfRule>
  </conditionalFormatting>
  <conditionalFormatting sqref="J39:L39">
    <cfRule type="containsText" dxfId="4" priority="1393" operator="containsText" text="Vacaciones">
      <formula>NOT(ISERROR(SEARCH(("Vacaciones"),(J39))))</formula>
    </cfRule>
  </conditionalFormatting>
  <conditionalFormatting sqref="J39:L39">
    <cfRule type="containsText" dxfId="6" priority="1394" operator="containsText" text="JuB">
      <formula>NOT(ISERROR(SEARCH(("JuB"),(J39))))</formula>
    </cfRule>
  </conditionalFormatting>
  <conditionalFormatting sqref="J39:L39">
    <cfRule type="containsText" dxfId="6" priority="1395" operator="containsText" text="JuC">
      <formula>NOT(ISERROR(SEARCH(("JuC"),(J39))))</formula>
    </cfRule>
  </conditionalFormatting>
  <conditionalFormatting sqref="J39:L39">
    <cfRule type="containsText" dxfId="5" priority="1396" operator="containsText" text="AP">
      <formula>NOT(ISERROR(SEARCH(("AP"),(J39))))</formula>
    </cfRule>
  </conditionalFormatting>
  <conditionalFormatting sqref="J39:L39">
    <cfRule type="containsText" dxfId="6" priority="1397" operator="containsText" text="Ts">
      <formula>NOT(ISERROR(SEARCH(("Ts"),(J39))))</formula>
    </cfRule>
  </conditionalFormatting>
  <conditionalFormatting sqref="J39:L39">
    <cfRule type="containsText" dxfId="9" priority="1398" operator="containsText" text="2">
      <formula>NOT(ISERROR(SEARCH(("2"),(J39))))</formula>
    </cfRule>
  </conditionalFormatting>
  <conditionalFormatting sqref="J39:L39">
    <cfRule type="containsText" dxfId="10" priority="1399" operator="containsText" text="1">
      <formula>NOT(ISERROR(SEARCH(("1"),(J39))))</formula>
    </cfRule>
  </conditionalFormatting>
  <conditionalFormatting sqref="J39:L39">
    <cfRule type="containsText" dxfId="10" priority="1400" operator="containsText" text="L">
      <formula>NOT(ISERROR(SEARCH(("L"),(J39))))</formula>
    </cfRule>
  </conditionalFormatting>
  <conditionalFormatting sqref="J39:L39">
    <cfRule type="containsText" dxfId="7" priority="1401" operator="containsText" text="D">
      <formula>NOT(ISERROR(SEARCH(("D"),(J39))))</formula>
    </cfRule>
  </conditionalFormatting>
  <conditionalFormatting sqref="J39:L39">
    <cfRule type="containsText" dxfId="8" priority="1402" operator="containsText" text="3">
      <formula>NOT(ISERROR(SEARCH(("3"),(J39))))</formula>
    </cfRule>
  </conditionalFormatting>
  <conditionalFormatting sqref="AD39">
    <cfRule type="containsText" dxfId="12" priority="1403" operator="containsText" text="ex">
      <formula>NOT(ISERROR(SEARCH(("ex"),(AD39))))</formula>
    </cfRule>
  </conditionalFormatting>
  <conditionalFormatting sqref="AD39">
    <cfRule type="containsText" dxfId="6" priority="1404" operator="containsText" text="curso">
      <formula>NOT(ISERROR(SEARCH(("curso"),(AD39))))</formula>
    </cfRule>
  </conditionalFormatting>
  <conditionalFormatting sqref="AD39">
    <cfRule type="containsText" dxfId="13" priority="1405" operator="containsText" text="indisp">
      <formula>NOT(ISERROR(SEARCH(("indisp"),(AD39))))</formula>
    </cfRule>
  </conditionalFormatting>
  <conditionalFormatting sqref="AD39">
    <cfRule type="containsText" dxfId="4" priority="1406" operator="containsText" text="B A J A">
      <formula>NOT(ISERROR(SEARCH(("B A J A"),(AD39))))</formula>
    </cfRule>
  </conditionalFormatting>
  <conditionalFormatting sqref="AD39">
    <cfRule type="containsText" dxfId="4" priority="1407" operator="containsText" text="BAJA">
      <formula>NOT(ISERROR(SEARCH(("BAJA"),(AD39))))</formula>
    </cfRule>
  </conditionalFormatting>
  <conditionalFormatting sqref="AD39">
    <cfRule type="containsText" dxfId="4" priority="1408" operator="containsText" text="V A C A C I O N E S">
      <formula>NOT(ISERROR(SEARCH(("V A C A C I O N E S"),(AD39))))</formula>
    </cfRule>
  </conditionalFormatting>
  <conditionalFormatting sqref="AD39">
    <cfRule type="containsText" dxfId="4" priority="1409" operator="containsText" text="Vacaciones">
      <formula>NOT(ISERROR(SEARCH(("Vacaciones"),(AD39))))</formula>
    </cfRule>
  </conditionalFormatting>
  <conditionalFormatting sqref="AD39">
    <cfRule type="containsText" dxfId="6" priority="1410" operator="containsText" text="JuB">
      <formula>NOT(ISERROR(SEARCH(("JuB"),(AD39))))</formula>
    </cfRule>
  </conditionalFormatting>
  <conditionalFormatting sqref="AD39">
    <cfRule type="containsText" dxfId="6" priority="1411" operator="containsText" text="JuC">
      <formula>NOT(ISERROR(SEARCH(("JuC"),(AD39))))</formula>
    </cfRule>
  </conditionalFormatting>
  <conditionalFormatting sqref="AD39">
    <cfRule type="containsText" dxfId="5" priority="1412" operator="containsText" text="AP">
      <formula>NOT(ISERROR(SEARCH(("AP"),(AD39))))</formula>
    </cfRule>
  </conditionalFormatting>
  <conditionalFormatting sqref="AD39">
    <cfRule type="containsText" dxfId="6" priority="1413" operator="containsText" text="Ts">
      <formula>NOT(ISERROR(SEARCH(("Ts"),(AD39))))</formula>
    </cfRule>
  </conditionalFormatting>
  <conditionalFormatting sqref="AD39">
    <cfRule type="containsText" dxfId="12" priority="1414" operator="containsText" text="ex">
      <formula>NOT(ISERROR(SEARCH(("ex"),(AD39))))</formula>
    </cfRule>
  </conditionalFormatting>
  <conditionalFormatting sqref="AD39">
    <cfRule type="containsText" dxfId="6" priority="1415" operator="containsText" text="curso">
      <formula>NOT(ISERROR(SEARCH(("curso"),(AD39))))</formula>
    </cfRule>
  </conditionalFormatting>
  <conditionalFormatting sqref="AD39">
    <cfRule type="containsText" dxfId="13" priority="1416" operator="containsText" text="indisp">
      <formula>NOT(ISERROR(SEARCH(("indisp"),(AD39))))</formula>
    </cfRule>
  </conditionalFormatting>
  <conditionalFormatting sqref="AD39">
    <cfRule type="containsText" dxfId="4" priority="1417" operator="containsText" text="B A J A">
      <formula>NOT(ISERROR(SEARCH(("B A J A"),(AD39))))</formula>
    </cfRule>
  </conditionalFormatting>
  <conditionalFormatting sqref="AD39">
    <cfRule type="containsText" dxfId="4" priority="1418" operator="containsText" text="BAJA">
      <formula>NOT(ISERROR(SEARCH(("BAJA"),(AD39))))</formula>
    </cfRule>
  </conditionalFormatting>
  <conditionalFormatting sqref="AD39">
    <cfRule type="containsText" dxfId="4" priority="1419" operator="containsText" text="V A C A C I O N E S">
      <formula>NOT(ISERROR(SEARCH(("V A C A C I O N E S"),(AD39))))</formula>
    </cfRule>
  </conditionalFormatting>
  <conditionalFormatting sqref="AD39">
    <cfRule type="containsText" dxfId="4" priority="1420" operator="containsText" text="Vacaciones">
      <formula>NOT(ISERROR(SEARCH(("Vacaciones"),(AD39))))</formula>
    </cfRule>
  </conditionalFormatting>
  <conditionalFormatting sqref="AD39">
    <cfRule type="containsText" dxfId="6" priority="1421" operator="containsText" text="JuB">
      <formula>NOT(ISERROR(SEARCH(("JuB"),(AD39))))</formula>
    </cfRule>
  </conditionalFormatting>
  <conditionalFormatting sqref="AD39">
    <cfRule type="containsText" dxfId="6" priority="1422" operator="containsText" text="JuC">
      <formula>NOT(ISERROR(SEARCH(("JuC"),(AD39))))</formula>
    </cfRule>
  </conditionalFormatting>
  <conditionalFormatting sqref="AD39">
    <cfRule type="containsText" dxfId="5" priority="1423" operator="containsText" text="AP">
      <formula>NOT(ISERROR(SEARCH(("AP"),(AD39))))</formula>
    </cfRule>
  </conditionalFormatting>
  <conditionalFormatting sqref="AD39">
    <cfRule type="containsText" dxfId="6" priority="1424" operator="containsText" text="Ts">
      <formula>NOT(ISERROR(SEARCH(("Ts"),(AD39))))</formula>
    </cfRule>
  </conditionalFormatting>
  <conditionalFormatting sqref="AD39">
    <cfRule type="containsText" dxfId="9" priority="1425" operator="containsText" text="2">
      <formula>NOT(ISERROR(SEARCH(("2"),(AD39))))</formula>
    </cfRule>
  </conditionalFormatting>
  <conditionalFormatting sqref="AD39">
    <cfRule type="containsText" dxfId="10" priority="1426" operator="containsText" text="1">
      <formula>NOT(ISERROR(SEARCH(("1"),(AD39))))</formula>
    </cfRule>
  </conditionalFormatting>
  <conditionalFormatting sqref="AD39">
    <cfRule type="containsText" dxfId="10" priority="1427" operator="containsText" text="L">
      <formula>NOT(ISERROR(SEARCH(("L"),(AD39))))</formula>
    </cfRule>
  </conditionalFormatting>
  <conditionalFormatting sqref="AD39">
    <cfRule type="containsText" dxfId="7" priority="1428" operator="containsText" text="D">
      <formula>NOT(ISERROR(SEARCH(("D"),(AD39))))</formula>
    </cfRule>
  </conditionalFormatting>
  <conditionalFormatting sqref="AD39">
    <cfRule type="containsText" dxfId="8" priority="1429" operator="containsText" text="3">
      <formula>NOT(ISERROR(SEARCH(("3"),(AD39))))</formula>
    </cfRule>
  </conditionalFormatting>
  <conditionalFormatting sqref="AE39:AG39">
    <cfRule type="containsText" dxfId="12" priority="1430" operator="containsText" text="ex">
      <formula>NOT(ISERROR(SEARCH(("ex"),(AE39))))</formula>
    </cfRule>
  </conditionalFormatting>
  <conditionalFormatting sqref="AE39:AG39">
    <cfRule type="containsText" dxfId="6" priority="1431" operator="containsText" text="curso">
      <formula>NOT(ISERROR(SEARCH(("curso"),(AE39))))</formula>
    </cfRule>
  </conditionalFormatting>
  <conditionalFormatting sqref="AE39:AG39">
    <cfRule type="containsText" dxfId="13" priority="1432" operator="containsText" text="indisp">
      <formula>NOT(ISERROR(SEARCH(("indisp"),(AE39))))</formula>
    </cfRule>
  </conditionalFormatting>
  <conditionalFormatting sqref="AE39:AG39">
    <cfRule type="containsText" dxfId="4" priority="1433" operator="containsText" text="B A J A">
      <formula>NOT(ISERROR(SEARCH(("B A J A"),(AE39))))</formula>
    </cfRule>
  </conditionalFormatting>
  <conditionalFormatting sqref="AE39:AG39">
    <cfRule type="containsText" dxfId="4" priority="1434" operator="containsText" text="BAJA">
      <formula>NOT(ISERROR(SEARCH(("BAJA"),(AE39))))</formula>
    </cfRule>
  </conditionalFormatting>
  <conditionalFormatting sqref="AE39:AG39">
    <cfRule type="containsText" dxfId="4" priority="1435" operator="containsText" text="V A C A C I O N E S">
      <formula>NOT(ISERROR(SEARCH(("V A C A C I O N E S"),(AE39))))</formula>
    </cfRule>
  </conditionalFormatting>
  <conditionalFormatting sqref="AE39:AG39">
    <cfRule type="containsText" dxfId="4" priority="1436" operator="containsText" text="Vacaciones">
      <formula>NOT(ISERROR(SEARCH(("Vacaciones"),(AE39))))</formula>
    </cfRule>
  </conditionalFormatting>
  <conditionalFormatting sqref="AE39:AG39">
    <cfRule type="containsText" dxfId="6" priority="1437" operator="containsText" text="JuB">
      <formula>NOT(ISERROR(SEARCH(("JuB"),(AE39))))</formula>
    </cfRule>
  </conditionalFormatting>
  <conditionalFormatting sqref="AE39:AG39">
    <cfRule type="containsText" dxfId="6" priority="1438" operator="containsText" text="JuC">
      <formula>NOT(ISERROR(SEARCH(("JuC"),(AE39))))</formula>
    </cfRule>
  </conditionalFormatting>
  <conditionalFormatting sqref="AE39:AG39">
    <cfRule type="containsText" dxfId="5" priority="1439" operator="containsText" text="AP">
      <formula>NOT(ISERROR(SEARCH(("AP"),(AE39))))</formula>
    </cfRule>
  </conditionalFormatting>
  <conditionalFormatting sqref="AE39:AG39">
    <cfRule type="containsText" dxfId="6" priority="1440" operator="containsText" text="Ts">
      <formula>NOT(ISERROR(SEARCH(("Ts"),(AE39))))</formula>
    </cfRule>
  </conditionalFormatting>
  <conditionalFormatting sqref="AE39:AG39">
    <cfRule type="containsText" dxfId="12" priority="1441" operator="containsText" text="ex">
      <formula>NOT(ISERROR(SEARCH(("ex"),(AE39))))</formula>
    </cfRule>
  </conditionalFormatting>
  <conditionalFormatting sqref="AE39:AG39">
    <cfRule type="containsText" dxfId="6" priority="1442" operator="containsText" text="curso">
      <formula>NOT(ISERROR(SEARCH(("curso"),(AE39))))</formula>
    </cfRule>
  </conditionalFormatting>
  <conditionalFormatting sqref="AE39:AG39">
    <cfRule type="containsText" dxfId="13" priority="1443" operator="containsText" text="indisp">
      <formula>NOT(ISERROR(SEARCH(("indisp"),(AE39))))</formula>
    </cfRule>
  </conditionalFormatting>
  <conditionalFormatting sqref="AE39:AG39">
    <cfRule type="containsText" dxfId="4" priority="1444" operator="containsText" text="B A J A">
      <formula>NOT(ISERROR(SEARCH(("B A J A"),(AE39))))</formula>
    </cfRule>
  </conditionalFormatting>
  <conditionalFormatting sqref="AE39:AG39">
    <cfRule type="containsText" dxfId="4" priority="1445" operator="containsText" text="BAJA">
      <formula>NOT(ISERROR(SEARCH(("BAJA"),(AE39))))</formula>
    </cfRule>
  </conditionalFormatting>
  <conditionalFormatting sqref="AE39:AG39">
    <cfRule type="containsText" dxfId="4" priority="1446" operator="containsText" text="V A C A C I O N E S">
      <formula>NOT(ISERROR(SEARCH(("V A C A C I O N E S"),(AE39))))</formula>
    </cfRule>
  </conditionalFormatting>
  <conditionalFormatting sqref="AE39:AG39">
    <cfRule type="containsText" dxfId="4" priority="1447" operator="containsText" text="Vacaciones">
      <formula>NOT(ISERROR(SEARCH(("Vacaciones"),(AE39))))</formula>
    </cfRule>
  </conditionalFormatting>
  <conditionalFormatting sqref="AE39:AG39">
    <cfRule type="containsText" dxfId="6" priority="1448" operator="containsText" text="JuB">
      <formula>NOT(ISERROR(SEARCH(("JuB"),(AE39))))</formula>
    </cfRule>
  </conditionalFormatting>
  <conditionalFormatting sqref="AE39:AG39">
    <cfRule type="containsText" dxfId="6" priority="1449" operator="containsText" text="JuC">
      <formula>NOT(ISERROR(SEARCH(("JuC"),(AE39))))</formula>
    </cfRule>
  </conditionalFormatting>
  <conditionalFormatting sqref="AE39:AG39">
    <cfRule type="containsText" dxfId="5" priority="1450" operator="containsText" text="AP">
      <formula>NOT(ISERROR(SEARCH(("AP"),(AE39))))</formula>
    </cfRule>
  </conditionalFormatting>
  <conditionalFormatting sqref="AE39:AG39">
    <cfRule type="containsText" dxfId="6" priority="1451" operator="containsText" text="Ts">
      <formula>NOT(ISERROR(SEARCH(("Ts"),(AE39))))</formula>
    </cfRule>
  </conditionalFormatting>
  <conditionalFormatting sqref="AE39:AG39">
    <cfRule type="containsText" dxfId="9" priority="1452" operator="containsText" text="2">
      <formula>NOT(ISERROR(SEARCH(("2"),(AE39))))</formula>
    </cfRule>
  </conditionalFormatting>
  <conditionalFormatting sqref="AE39:AG39">
    <cfRule type="containsText" dxfId="10" priority="1453" operator="containsText" text="1">
      <formula>NOT(ISERROR(SEARCH(("1"),(AE39))))</formula>
    </cfRule>
  </conditionalFormatting>
  <conditionalFormatting sqref="AE39:AG39">
    <cfRule type="containsText" dxfId="10" priority="1454" operator="containsText" text="L">
      <formula>NOT(ISERROR(SEARCH(("L"),(AE39))))</formula>
    </cfRule>
  </conditionalFormatting>
  <conditionalFormatting sqref="AE39:AG39">
    <cfRule type="containsText" dxfId="7" priority="1455" operator="containsText" text="D">
      <formula>NOT(ISERROR(SEARCH(("D"),(AE39))))</formula>
    </cfRule>
  </conditionalFormatting>
  <conditionalFormatting sqref="AE39:AG39">
    <cfRule type="containsText" dxfId="8" priority="1456" operator="containsText" text="3">
      <formula>NOT(ISERROR(SEARCH(("3"),(AE39))))</formula>
    </cfRule>
  </conditionalFormatting>
  <conditionalFormatting sqref="O5:AM5">
    <cfRule type="containsText" dxfId="12" priority="1457" operator="containsText" text="ex">
      <formula>NOT(ISERROR(SEARCH(("ex"),(O5))))</formula>
    </cfRule>
  </conditionalFormatting>
  <conditionalFormatting sqref="O5:AM5">
    <cfRule type="containsText" dxfId="6" priority="1458" operator="containsText" text="curso">
      <formula>NOT(ISERROR(SEARCH(("curso"),(O5))))</formula>
    </cfRule>
  </conditionalFormatting>
  <conditionalFormatting sqref="O5:AM5">
    <cfRule type="containsText" dxfId="13" priority="1459" operator="containsText" text="indisp">
      <formula>NOT(ISERROR(SEARCH(("indisp"),(O5))))</formula>
    </cfRule>
  </conditionalFormatting>
  <conditionalFormatting sqref="O5:AM5">
    <cfRule type="containsText" dxfId="4" priority="1460" operator="containsText" text="B A J A">
      <formula>NOT(ISERROR(SEARCH(("B A J A"),(O5))))</formula>
    </cfRule>
  </conditionalFormatting>
  <conditionalFormatting sqref="O5:AM5">
    <cfRule type="containsText" dxfId="4" priority="1461" operator="containsText" text="BAJA">
      <formula>NOT(ISERROR(SEARCH(("BAJA"),(O5))))</formula>
    </cfRule>
  </conditionalFormatting>
  <conditionalFormatting sqref="O5:AM5">
    <cfRule type="containsText" dxfId="4" priority="1462" operator="containsText" text="V A C A C I O N E S">
      <formula>NOT(ISERROR(SEARCH(("V A C A C I O N E S"),(O5))))</formula>
    </cfRule>
  </conditionalFormatting>
  <conditionalFormatting sqref="O5:AM5">
    <cfRule type="containsText" dxfId="4" priority="1463" operator="containsText" text="Vacaciones">
      <formula>NOT(ISERROR(SEARCH(("Vacaciones"),(O5))))</formula>
    </cfRule>
  </conditionalFormatting>
  <conditionalFormatting sqref="O5:AM5">
    <cfRule type="containsText" dxfId="6" priority="1464" operator="containsText" text="JuB">
      <formula>NOT(ISERROR(SEARCH(("JuB"),(O5))))</formula>
    </cfRule>
  </conditionalFormatting>
  <conditionalFormatting sqref="O5:AM5">
    <cfRule type="containsText" dxfId="6" priority="1465" operator="containsText" text="JuC">
      <formula>NOT(ISERROR(SEARCH(("JuC"),(O5))))</formula>
    </cfRule>
  </conditionalFormatting>
  <conditionalFormatting sqref="O5:AM5">
    <cfRule type="containsText" dxfId="5" priority="1466" operator="containsText" text="AP">
      <formula>NOT(ISERROR(SEARCH(("AP"),(O5))))</formula>
    </cfRule>
  </conditionalFormatting>
  <conditionalFormatting sqref="O5:AM5">
    <cfRule type="containsText" dxfId="6" priority="1467" operator="containsText" text="Ts">
      <formula>NOT(ISERROR(SEARCH(("Ts"),(O5))))</formula>
    </cfRule>
  </conditionalFormatting>
  <conditionalFormatting sqref="O5:AM5">
    <cfRule type="containsText" dxfId="7" priority="1468" operator="containsText" text="D">
      <formula>NOT(ISERROR(SEARCH(("D"),(O5))))</formula>
    </cfRule>
  </conditionalFormatting>
  <conditionalFormatting sqref="O5:AM5">
    <cfRule type="containsText" dxfId="8" priority="1469" operator="containsText" text="3">
      <formula>NOT(ISERROR(SEARCH(("3"),(O5))))</formula>
    </cfRule>
  </conditionalFormatting>
  <conditionalFormatting sqref="O5:AM5">
    <cfRule type="containsText" dxfId="9" priority="1470" operator="containsText" text="2">
      <formula>NOT(ISERROR(SEARCH(("2"),(O5))))</formula>
    </cfRule>
  </conditionalFormatting>
  <conditionalFormatting sqref="O5:AM5">
    <cfRule type="containsText" dxfId="10" priority="1471" operator="containsText" text="1">
      <formula>NOT(ISERROR(SEARCH(("1"),(O5))))</formula>
    </cfRule>
  </conditionalFormatting>
  <conditionalFormatting sqref="O5:AM5">
    <cfRule type="containsText" dxfId="10" priority="1472" operator="containsText" text="L">
      <formula>NOT(ISERROR(SEARCH(("L"),(O5))))</formula>
    </cfRule>
  </conditionalFormatting>
  <conditionalFormatting sqref="O5:AM5">
    <cfRule type="containsText" dxfId="12" priority="1473" operator="containsText" text="ex">
      <formula>NOT(ISERROR(SEARCH(("ex"),(O5))))</formula>
    </cfRule>
  </conditionalFormatting>
  <conditionalFormatting sqref="O5:AM5">
    <cfRule type="containsText" dxfId="6" priority="1474" operator="containsText" text="curso">
      <formula>NOT(ISERROR(SEARCH(("curso"),(O5))))</formula>
    </cfRule>
  </conditionalFormatting>
  <conditionalFormatting sqref="O5:AM5">
    <cfRule type="containsText" dxfId="13" priority="1475" operator="containsText" text="indisp">
      <formula>NOT(ISERROR(SEARCH(("indisp"),(O5))))</formula>
    </cfRule>
  </conditionalFormatting>
  <conditionalFormatting sqref="O5:AM5">
    <cfRule type="containsText" dxfId="4" priority="1476" operator="containsText" text="B A J A">
      <formula>NOT(ISERROR(SEARCH(("B A J A"),(O5))))</formula>
    </cfRule>
  </conditionalFormatting>
  <conditionalFormatting sqref="O5:AM5">
    <cfRule type="containsText" dxfId="4" priority="1477" operator="containsText" text="BAJA">
      <formula>NOT(ISERROR(SEARCH(("BAJA"),(O5))))</formula>
    </cfRule>
  </conditionalFormatting>
  <conditionalFormatting sqref="O5:AM5">
    <cfRule type="containsText" dxfId="4" priority="1478" operator="containsText" text="V A C A C I O N E S">
      <formula>NOT(ISERROR(SEARCH(("V A C A C I O N E S"),(O5))))</formula>
    </cfRule>
  </conditionalFormatting>
  <conditionalFormatting sqref="O5:AM5">
    <cfRule type="containsText" dxfId="4" priority="1479" operator="containsText" text="Vacaciones">
      <formula>NOT(ISERROR(SEARCH(("Vacaciones"),(O5))))</formula>
    </cfRule>
  </conditionalFormatting>
  <conditionalFormatting sqref="O5:AM5">
    <cfRule type="containsText" dxfId="6" priority="1480" operator="containsText" text="JuB">
      <formula>NOT(ISERROR(SEARCH(("JuB"),(O5))))</formula>
    </cfRule>
  </conditionalFormatting>
  <conditionalFormatting sqref="O5:AM5">
    <cfRule type="containsText" dxfId="6" priority="1481" operator="containsText" text="JuC">
      <formula>NOT(ISERROR(SEARCH(("JuC"),(O5))))</formula>
    </cfRule>
  </conditionalFormatting>
  <conditionalFormatting sqref="O5:AM5">
    <cfRule type="containsText" dxfId="5" priority="1482" operator="containsText" text="AP">
      <formula>NOT(ISERROR(SEARCH(("AP"),(O5))))</formula>
    </cfRule>
  </conditionalFormatting>
  <conditionalFormatting sqref="O5:AM5">
    <cfRule type="containsText" dxfId="6" priority="1483" operator="containsText" text="Ts">
      <formula>NOT(ISERROR(SEARCH(("Ts"),(O5))))</formula>
    </cfRule>
  </conditionalFormatting>
  <conditionalFormatting sqref="O25:P25">
    <cfRule type="containsText" dxfId="12" priority="1484" operator="containsText" text="ex">
      <formula>NOT(ISERROR(SEARCH(("ex"),(O25))))</formula>
    </cfRule>
  </conditionalFormatting>
  <conditionalFormatting sqref="O25:P25">
    <cfRule type="containsText" dxfId="6" priority="1485" operator="containsText" text="curso">
      <formula>NOT(ISERROR(SEARCH(("curso"),(O25))))</formula>
    </cfRule>
  </conditionalFormatting>
  <conditionalFormatting sqref="O25:P25">
    <cfRule type="containsText" dxfId="13" priority="1486" operator="containsText" text="indisp">
      <formula>NOT(ISERROR(SEARCH(("indisp"),(O25))))</formula>
    </cfRule>
  </conditionalFormatting>
  <conditionalFormatting sqref="O25:P25">
    <cfRule type="containsText" dxfId="4" priority="1487" operator="containsText" text="B A J A">
      <formula>NOT(ISERROR(SEARCH(("B A J A"),(O25))))</formula>
    </cfRule>
  </conditionalFormatting>
  <conditionalFormatting sqref="O25:P25">
    <cfRule type="containsText" dxfId="4" priority="1488" operator="containsText" text="BAJA">
      <formula>NOT(ISERROR(SEARCH(("BAJA"),(O25))))</formula>
    </cfRule>
  </conditionalFormatting>
  <conditionalFormatting sqref="O25:P25">
    <cfRule type="containsText" dxfId="4" priority="1489" operator="containsText" text="V A C A C I O N E S">
      <formula>NOT(ISERROR(SEARCH(("V A C A C I O N E S"),(O25))))</formula>
    </cfRule>
  </conditionalFormatting>
  <conditionalFormatting sqref="O25:P25">
    <cfRule type="containsText" dxfId="4" priority="1490" operator="containsText" text="Vacaciones">
      <formula>NOT(ISERROR(SEARCH(("Vacaciones"),(O25))))</formula>
    </cfRule>
  </conditionalFormatting>
  <conditionalFormatting sqref="O25:P25">
    <cfRule type="containsText" dxfId="6" priority="1491" operator="containsText" text="JuB">
      <formula>NOT(ISERROR(SEARCH(("JuB"),(O25))))</formula>
    </cfRule>
  </conditionalFormatting>
  <conditionalFormatting sqref="O25:P25">
    <cfRule type="containsText" dxfId="6" priority="1492" operator="containsText" text="JuC">
      <formula>NOT(ISERROR(SEARCH(("JuC"),(O25))))</formula>
    </cfRule>
  </conditionalFormatting>
  <conditionalFormatting sqref="O25:P25">
    <cfRule type="containsText" dxfId="5" priority="1493" operator="containsText" text="AP">
      <formula>NOT(ISERROR(SEARCH(("AP"),(O25))))</formula>
    </cfRule>
  </conditionalFormatting>
  <conditionalFormatting sqref="O25:P25">
    <cfRule type="containsText" dxfId="6" priority="1494" operator="containsText" text="Ts">
      <formula>NOT(ISERROR(SEARCH(("Ts"),(O25))))</formula>
    </cfRule>
  </conditionalFormatting>
  <conditionalFormatting sqref="O25:P25">
    <cfRule type="containsText" dxfId="12" priority="1495" operator="containsText" text="ex">
      <formula>NOT(ISERROR(SEARCH(("ex"),(O25))))</formula>
    </cfRule>
  </conditionalFormatting>
  <conditionalFormatting sqref="O25:P25">
    <cfRule type="containsText" dxfId="6" priority="1496" operator="containsText" text="curso">
      <formula>NOT(ISERROR(SEARCH(("curso"),(O25))))</formula>
    </cfRule>
  </conditionalFormatting>
  <conditionalFormatting sqref="O25:P25">
    <cfRule type="containsText" dxfId="13" priority="1497" operator="containsText" text="indisp">
      <formula>NOT(ISERROR(SEARCH(("indisp"),(O25))))</formula>
    </cfRule>
  </conditionalFormatting>
  <conditionalFormatting sqref="O25:P25">
    <cfRule type="containsText" dxfId="4" priority="1498" operator="containsText" text="B A J A">
      <formula>NOT(ISERROR(SEARCH(("B A J A"),(O25))))</formula>
    </cfRule>
  </conditionalFormatting>
  <conditionalFormatting sqref="O25:P25">
    <cfRule type="containsText" dxfId="4" priority="1499" operator="containsText" text="BAJA">
      <formula>NOT(ISERROR(SEARCH(("BAJA"),(O25))))</formula>
    </cfRule>
  </conditionalFormatting>
  <conditionalFormatting sqref="O25:P25">
    <cfRule type="containsText" dxfId="4" priority="1500" operator="containsText" text="V A C A C I O N E S">
      <formula>NOT(ISERROR(SEARCH(("V A C A C I O N E S"),(O25))))</formula>
    </cfRule>
  </conditionalFormatting>
  <conditionalFormatting sqref="O25:P25">
    <cfRule type="containsText" dxfId="4" priority="1501" operator="containsText" text="Vacaciones">
      <formula>NOT(ISERROR(SEARCH(("Vacaciones"),(O25))))</formula>
    </cfRule>
  </conditionalFormatting>
  <conditionalFormatting sqref="O25:P25">
    <cfRule type="containsText" dxfId="6" priority="1502" operator="containsText" text="JuB">
      <formula>NOT(ISERROR(SEARCH(("JuB"),(O25))))</formula>
    </cfRule>
  </conditionalFormatting>
  <conditionalFormatting sqref="O25:P25">
    <cfRule type="containsText" dxfId="6" priority="1503" operator="containsText" text="JuC">
      <formula>NOT(ISERROR(SEARCH(("JuC"),(O25))))</formula>
    </cfRule>
  </conditionalFormatting>
  <conditionalFormatting sqref="O25:P25">
    <cfRule type="containsText" dxfId="5" priority="1504" operator="containsText" text="AP">
      <formula>NOT(ISERROR(SEARCH(("AP"),(O25))))</formula>
    </cfRule>
  </conditionalFormatting>
  <conditionalFormatting sqref="O25:P25">
    <cfRule type="containsText" dxfId="6" priority="1505" operator="containsText" text="Ts">
      <formula>NOT(ISERROR(SEARCH(("Ts"),(O25))))</formula>
    </cfRule>
  </conditionalFormatting>
  <conditionalFormatting sqref="O25:P25">
    <cfRule type="containsText" dxfId="7" priority="1506" operator="containsText" text="D">
      <formula>NOT(ISERROR(SEARCH(("D"),(O25))))</formula>
    </cfRule>
  </conditionalFormatting>
  <conditionalFormatting sqref="O25:P25">
    <cfRule type="containsText" dxfId="8" priority="1507" operator="containsText" text="3">
      <formula>NOT(ISERROR(SEARCH(("3"),(O25))))</formula>
    </cfRule>
  </conditionalFormatting>
  <printOptions horizontalCentered="1" verticalCentered="1"/>
  <pageMargins bottom="0.75" footer="0.0" header="0.0" left="0.25" right="0.25" top="0.75"/>
  <pageSetup paperSize="8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7.57"/>
    <col customWidth="1" min="2" max="3" width="12.57"/>
    <col customWidth="1" min="5" max="6" width="6.71"/>
    <col customWidth="1" min="7" max="7" width="12.43"/>
    <col customWidth="1" min="8" max="8" width="22.0"/>
    <col customWidth="1" min="9" max="9" width="14.71"/>
    <col customWidth="1" min="10" max="10" width="34.43"/>
    <col customWidth="1" min="11" max="11" width="28.57"/>
    <col customWidth="1" min="12" max="26" width="12.57"/>
  </cols>
  <sheetData>
    <row r="1" ht="15.75" customHeight="1">
      <c r="A1" s="283"/>
      <c r="B1" s="283"/>
      <c r="C1" s="283"/>
      <c r="D1" s="284" t="s">
        <v>17</v>
      </c>
      <c r="E1" s="285" t="s">
        <v>132</v>
      </c>
      <c r="F1" s="285" t="s">
        <v>21</v>
      </c>
      <c r="G1" s="285" t="s">
        <v>98</v>
      </c>
      <c r="H1" s="285" t="s">
        <v>133</v>
      </c>
      <c r="I1" s="284" t="s">
        <v>134</v>
      </c>
      <c r="J1" s="285" t="s">
        <v>135</v>
      </c>
      <c r="K1" s="285" t="s">
        <v>136</v>
      </c>
    </row>
    <row r="2" ht="15.75" customHeight="1">
      <c r="A2" s="286" t="s">
        <v>35</v>
      </c>
      <c r="B2" s="287" t="s">
        <v>36</v>
      </c>
      <c r="C2" s="288" t="s">
        <v>37</v>
      </c>
    </row>
    <row r="3" ht="15.75" customHeight="1">
      <c r="A3" s="73"/>
      <c r="B3" s="74"/>
      <c r="C3" s="114"/>
    </row>
    <row r="4" ht="15.75" customHeight="1">
      <c r="A4" s="289" t="s">
        <v>60</v>
      </c>
      <c r="B4" s="290" t="s">
        <v>61</v>
      </c>
      <c r="C4" s="291" t="s">
        <v>11</v>
      </c>
    </row>
    <row r="5" ht="15.75" customHeight="1">
      <c r="A5" s="292"/>
      <c r="B5" s="293"/>
      <c r="C5" s="294"/>
    </row>
    <row r="6" ht="15.75" customHeight="1">
      <c r="A6" s="295" t="s">
        <v>66</v>
      </c>
      <c r="B6" s="296" t="s">
        <v>67</v>
      </c>
      <c r="C6" s="297" t="s">
        <v>16</v>
      </c>
      <c r="D6" s="298"/>
      <c r="E6" s="298">
        <v>0.0</v>
      </c>
      <c r="F6" s="298" t="s">
        <v>137</v>
      </c>
      <c r="G6" s="299" t="s">
        <v>138</v>
      </c>
      <c r="H6" s="300" t="s">
        <v>139</v>
      </c>
      <c r="I6" s="298"/>
      <c r="J6" s="298"/>
      <c r="K6" s="298"/>
    </row>
    <row r="7" ht="15.75" customHeight="1">
      <c r="A7" s="73"/>
      <c r="B7" s="74"/>
      <c r="C7" s="114"/>
    </row>
    <row r="8" ht="15.75" customHeight="1">
      <c r="A8" s="289" t="s">
        <v>69</v>
      </c>
      <c r="B8" s="290" t="s">
        <v>67</v>
      </c>
      <c r="C8" s="291" t="s">
        <v>19</v>
      </c>
      <c r="D8" s="298" t="s">
        <v>140</v>
      </c>
      <c r="E8" s="298">
        <v>0.0</v>
      </c>
      <c r="F8" s="298" t="s">
        <v>141</v>
      </c>
      <c r="G8" s="298">
        <v>5.0</v>
      </c>
      <c r="H8" s="298" t="s">
        <v>142</v>
      </c>
      <c r="I8" s="298"/>
      <c r="J8" s="298"/>
      <c r="K8" s="298"/>
    </row>
    <row r="9" ht="15.75" customHeight="1">
      <c r="A9" s="73"/>
      <c r="B9" s="74"/>
      <c r="C9" s="114"/>
    </row>
    <row r="10" ht="15.75" customHeight="1">
      <c r="A10" s="301" t="s">
        <v>70</v>
      </c>
      <c r="B10" s="302" t="s">
        <v>67</v>
      </c>
      <c r="C10" s="303" t="s">
        <v>20</v>
      </c>
      <c r="D10" s="298"/>
      <c r="E10" s="298">
        <v>0.0</v>
      </c>
      <c r="F10" s="298" t="s">
        <v>137</v>
      </c>
      <c r="G10" s="299" t="s">
        <v>143</v>
      </c>
      <c r="H10" s="300" t="s">
        <v>144</v>
      </c>
      <c r="I10" s="298"/>
      <c r="J10" s="304" t="s">
        <v>145</v>
      </c>
      <c r="K10" s="298" t="s">
        <v>146</v>
      </c>
    </row>
    <row r="11" ht="15.75" customHeight="1">
      <c r="A11" s="73"/>
      <c r="B11" s="74"/>
      <c r="C11" s="114"/>
    </row>
    <row r="12" ht="15.75" customHeight="1">
      <c r="A12" s="289" t="s">
        <v>71</v>
      </c>
      <c r="B12" s="290" t="s">
        <v>72</v>
      </c>
      <c r="C12" s="291" t="s">
        <v>22</v>
      </c>
      <c r="D12" s="298"/>
      <c r="E12" s="298">
        <v>0.0</v>
      </c>
      <c r="F12" s="298" t="s">
        <v>141</v>
      </c>
      <c r="G12" s="298"/>
      <c r="H12" s="300" t="s">
        <v>144</v>
      </c>
      <c r="I12" s="298"/>
      <c r="J12" s="298"/>
      <c r="K12" s="298"/>
    </row>
    <row r="13" ht="15.75" customHeight="1">
      <c r="A13" s="73"/>
      <c r="B13" s="74"/>
      <c r="C13" s="114"/>
    </row>
    <row r="14" ht="15.75" customHeight="1">
      <c r="A14" s="301" t="s">
        <v>147</v>
      </c>
      <c r="B14" s="302" t="s">
        <v>72</v>
      </c>
      <c r="C14" s="303" t="s">
        <v>148</v>
      </c>
      <c r="D14" s="298"/>
      <c r="E14" s="298">
        <v>0.0</v>
      </c>
      <c r="F14" s="298" t="s">
        <v>141</v>
      </c>
      <c r="G14" s="299" t="s">
        <v>149</v>
      </c>
      <c r="H14" s="300" t="s">
        <v>139</v>
      </c>
      <c r="I14" s="305" t="s">
        <v>150</v>
      </c>
      <c r="J14" s="298" t="s">
        <v>151</v>
      </c>
      <c r="K14" s="298" t="s">
        <v>152</v>
      </c>
    </row>
    <row r="15" ht="15.75" customHeight="1">
      <c r="A15" s="73"/>
      <c r="B15" s="74"/>
      <c r="C15" s="114"/>
    </row>
    <row r="16" ht="15.75" customHeight="1">
      <c r="A16" s="289" t="s">
        <v>73</v>
      </c>
      <c r="B16" s="290" t="s">
        <v>72</v>
      </c>
      <c r="C16" s="291" t="s">
        <v>23</v>
      </c>
      <c r="D16" s="298" t="s">
        <v>140</v>
      </c>
      <c r="E16" s="298">
        <v>0.0</v>
      </c>
      <c r="F16" s="298" t="s">
        <v>141</v>
      </c>
      <c r="G16" s="299" t="s">
        <v>149</v>
      </c>
      <c r="H16" s="300" t="s">
        <v>144</v>
      </c>
      <c r="I16" s="298"/>
      <c r="J16" s="299" t="s">
        <v>153</v>
      </c>
      <c r="K16" s="298"/>
    </row>
    <row r="17" ht="15.75" customHeight="1">
      <c r="A17" s="73"/>
      <c r="B17" s="74"/>
      <c r="C17" s="114"/>
    </row>
    <row r="18" ht="15.75" customHeight="1">
      <c r="A18" s="301" t="s">
        <v>74</v>
      </c>
      <c r="B18" s="302" t="s">
        <v>72</v>
      </c>
      <c r="C18" s="303" t="s">
        <v>24</v>
      </c>
      <c r="D18" s="298"/>
      <c r="E18" s="298">
        <v>0.0</v>
      </c>
      <c r="F18" s="298" t="s">
        <v>141</v>
      </c>
      <c r="G18" s="298">
        <v>5.0</v>
      </c>
      <c r="H18" s="300" t="s">
        <v>139</v>
      </c>
      <c r="I18" s="305" t="s">
        <v>150</v>
      </c>
      <c r="J18" s="298"/>
      <c r="K18" s="298"/>
    </row>
    <row r="19" ht="15.75" customHeight="1">
      <c r="A19" s="73"/>
      <c r="B19" s="74"/>
      <c r="C19" s="114"/>
    </row>
    <row r="20" ht="15.75" customHeight="1">
      <c r="A20" s="289" t="s">
        <v>75</v>
      </c>
      <c r="B20" s="290" t="s">
        <v>72</v>
      </c>
      <c r="C20" s="291" t="s">
        <v>25</v>
      </c>
      <c r="D20" s="298" t="s">
        <v>140</v>
      </c>
      <c r="E20" s="306" t="s">
        <v>154</v>
      </c>
      <c r="F20" s="298" t="s">
        <v>141</v>
      </c>
      <c r="G20" s="299" t="s">
        <v>149</v>
      </c>
      <c r="H20" s="300" t="s">
        <v>144</v>
      </c>
      <c r="I20" s="305" t="s">
        <v>150</v>
      </c>
      <c r="J20" s="300" t="s">
        <v>155</v>
      </c>
      <c r="K20" s="298" t="s">
        <v>156</v>
      </c>
    </row>
    <row r="21" ht="15.75" customHeight="1">
      <c r="A21" s="73"/>
      <c r="B21" s="74"/>
      <c r="C21" s="114"/>
    </row>
    <row r="22" ht="15.75" customHeight="1">
      <c r="A22" s="301" t="s">
        <v>77</v>
      </c>
      <c r="B22" s="302" t="s">
        <v>72</v>
      </c>
      <c r="C22" s="303" t="s">
        <v>26</v>
      </c>
      <c r="D22" s="298" t="s">
        <v>140</v>
      </c>
      <c r="E22" s="298">
        <v>0.0</v>
      </c>
      <c r="F22" s="298" t="s">
        <v>141</v>
      </c>
      <c r="G22" s="299" t="s">
        <v>149</v>
      </c>
      <c r="H22" s="300" t="s">
        <v>144</v>
      </c>
      <c r="I22" s="305" t="s">
        <v>150</v>
      </c>
      <c r="J22" s="298"/>
      <c r="K22" s="298"/>
    </row>
    <row r="23" ht="15.75" customHeight="1">
      <c r="A23" s="73"/>
      <c r="B23" s="74"/>
      <c r="C23" s="114"/>
    </row>
    <row r="24" ht="15.75" customHeight="1">
      <c r="A24" s="289" t="s">
        <v>78</v>
      </c>
      <c r="B24" s="290" t="s">
        <v>72</v>
      </c>
      <c r="C24" s="291" t="s">
        <v>27</v>
      </c>
      <c r="D24" s="298"/>
      <c r="E24" s="298">
        <v>0.0</v>
      </c>
      <c r="F24" s="298" t="s">
        <v>137</v>
      </c>
      <c r="G24" s="298">
        <v>5.0</v>
      </c>
      <c r="H24" s="300" t="s">
        <v>144</v>
      </c>
      <c r="I24" s="305" t="s">
        <v>150</v>
      </c>
      <c r="J24" s="299" t="s">
        <v>153</v>
      </c>
      <c r="K24" s="298" t="s">
        <v>157</v>
      </c>
    </row>
    <row r="25" ht="15.75" customHeight="1">
      <c r="A25" s="73"/>
      <c r="B25" s="74"/>
      <c r="C25" s="114"/>
    </row>
    <row r="26" ht="15.75" customHeight="1">
      <c r="A26" s="301" t="s">
        <v>79</v>
      </c>
      <c r="B26" s="302" t="s">
        <v>72</v>
      </c>
      <c r="C26" s="303" t="s">
        <v>28</v>
      </c>
      <c r="D26" s="298"/>
      <c r="E26" s="298">
        <v>0.0</v>
      </c>
      <c r="F26" s="298" t="s">
        <v>141</v>
      </c>
      <c r="G26" s="298"/>
      <c r="H26" s="298" t="s">
        <v>142</v>
      </c>
      <c r="I26" s="305" t="s">
        <v>150</v>
      </c>
      <c r="J26" s="298"/>
      <c r="K26" s="304" t="s">
        <v>158</v>
      </c>
    </row>
    <row r="27" ht="15.75" customHeight="1">
      <c r="A27" s="73"/>
      <c r="B27" s="74"/>
      <c r="C27" s="114"/>
    </row>
    <row r="28" ht="15.75" customHeight="1">
      <c r="A28" s="289" t="s">
        <v>81</v>
      </c>
      <c r="B28" s="290" t="s">
        <v>72</v>
      </c>
      <c r="C28" s="291" t="s">
        <v>31</v>
      </c>
      <c r="D28" s="298"/>
      <c r="E28" s="298">
        <v>3.0</v>
      </c>
      <c r="F28" s="298" t="s">
        <v>141</v>
      </c>
      <c r="G28" s="299" t="s">
        <v>143</v>
      </c>
      <c r="H28" s="298" t="s">
        <v>142</v>
      </c>
      <c r="I28" s="298"/>
      <c r="J28" s="298"/>
      <c r="K28" s="298"/>
    </row>
    <row r="29" ht="15.75" customHeight="1">
      <c r="A29" s="73"/>
      <c r="B29" s="74"/>
      <c r="C29" s="114"/>
    </row>
    <row r="30" ht="15.75" customHeight="1">
      <c r="A30" s="301" t="s">
        <v>85</v>
      </c>
      <c r="B30" s="302" t="s">
        <v>86</v>
      </c>
      <c r="C30" s="307" t="s">
        <v>159</v>
      </c>
      <c r="D30" s="298"/>
      <c r="E30" s="298">
        <v>0.0</v>
      </c>
      <c r="F30" s="298" t="s">
        <v>141</v>
      </c>
      <c r="G30" s="298"/>
      <c r="H30" s="298" t="s">
        <v>141</v>
      </c>
      <c r="I30" s="298"/>
      <c r="J30" s="298"/>
      <c r="K30" s="298"/>
    </row>
    <row r="31" ht="15.75" customHeight="1">
      <c r="A31" s="73"/>
      <c r="B31" s="74"/>
      <c r="C31" s="114"/>
    </row>
    <row r="32" ht="15.75" customHeight="1">
      <c r="A32" s="289" t="s">
        <v>82</v>
      </c>
      <c r="B32" s="290" t="s">
        <v>72</v>
      </c>
      <c r="C32" s="291" t="s">
        <v>33</v>
      </c>
      <c r="D32" s="298"/>
      <c r="E32" s="298">
        <v>0.0</v>
      </c>
      <c r="F32" s="298" t="s">
        <v>141</v>
      </c>
      <c r="G32" s="298" t="s">
        <v>141</v>
      </c>
      <c r="H32" s="298" t="s">
        <v>142</v>
      </c>
      <c r="I32" s="298"/>
      <c r="J32" s="298"/>
      <c r="K32" s="298"/>
    </row>
    <row r="33" ht="15.75" customHeight="1">
      <c r="A33" s="73"/>
      <c r="B33" s="74"/>
      <c r="C33" s="114"/>
    </row>
    <row r="34" ht="15.75" customHeight="1">
      <c r="A34" s="308" t="s">
        <v>87</v>
      </c>
      <c r="B34" s="309" t="s">
        <v>72</v>
      </c>
      <c r="C34" s="310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H30:H31"/>
    <mergeCell ref="I30:I31"/>
    <mergeCell ref="J30:J31"/>
    <mergeCell ref="K30:K31"/>
    <mergeCell ref="A30:A31"/>
    <mergeCell ref="B30:B31"/>
    <mergeCell ref="C30:C31"/>
    <mergeCell ref="D30:D31"/>
    <mergeCell ref="E30:E31"/>
    <mergeCell ref="F30:F31"/>
    <mergeCell ref="G30:G31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F16:F17"/>
    <mergeCell ref="G16:G17"/>
    <mergeCell ref="H32:H33"/>
    <mergeCell ref="I32:I33"/>
    <mergeCell ref="J32:J33"/>
    <mergeCell ref="K32:K33"/>
    <mergeCell ref="A32:A33"/>
    <mergeCell ref="B32:B33"/>
    <mergeCell ref="C32:C33"/>
    <mergeCell ref="D32:D33"/>
    <mergeCell ref="E32:E33"/>
    <mergeCell ref="F32:F33"/>
    <mergeCell ref="G32:G33"/>
    <mergeCell ref="I6:I7"/>
    <mergeCell ref="J6:J7"/>
    <mergeCell ref="K6:K7"/>
    <mergeCell ref="B6:B7"/>
    <mergeCell ref="C6:C7"/>
    <mergeCell ref="D6:D7"/>
    <mergeCell ref="E6:E7"/>
    <mergeCell ref="F6:F7"/>
    <mergeCell ref="G6:G7"/>
    <mergeCell ref="H6:H7"/>
    <mergeCell ref="H8:H9"/>
    <mergeCell ref="I8:I9"/>
    <mergeCell ref="J8:J9"/>
    <mergeCell ref="K8:K9"/>
    <mergeCell ref="A8:A9"/>
    <mergeCell ref="B8:B9"/>
    <mergeCell ref="C8:C9"/>
    <mergeCell ref="D8:D9"/>
    <mergeCell ref="E8:E9"/>
    <mergeCell ref="F8:F9"/>
    <mergeCell ref="G8:G9"/>
    <mergeCell ref="A2:A3"/>
    <mergeCell ref="B2:B3"/>
    <mergeCell ref="C2:C3"/>
    <mergeCell ref="A4:A5"/>
    <mergeCell ref="B4:B5"/>
    <mergeCell ref="C4:C5"/>
    <mergeCell ref="A6:A7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F10:F11"/>
    <mergeCell ref="G10:G11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F22:F23"/>
    <mergeCell ref="G22:G23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F24:F25"/>
    <mergeCell ref="G24:G25"/>
    <mergeCell ref="H26:H27"/>
    <mergeCell ref="I26:I27"/>
    <mergeCell ref="J26:J27"/>
    <mergeCell ref="K26:K27"/>
    <mergeCell ref="A26:A27"/>
    <mergeCell ref="B26:B27"/>
    <mergeCell ref="C26:C27"/>
    <mergeCell ref="D26:D27"/>
    <mergeCell ref="E26:E27"/>
    <mergeCell ref="F26:F27"/>
    <mergeCell ref="G26:G27"/>
    <mergeCell ref="H28:H29"/>
    <mergeCell ref="I28:I29"/>
    <mergeCell ref="J28:J29"/>
    <mergeCell ref="K28:K29"/>
    <mergeCell ref="A28:A29"/>
    <mergeCell ref="B28:B29"/>
    <mergeCell ref="C28:C29"/>
    <mergeCell ref="D28:D29"/>
    <mergeCell ref="E28:E29"/>
    <mergeCell ref="F28:F29"/>
    <mergeCell ref="G28:G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2023-12-26T05:13:53Z</dcterms:created>
  <dc:creator>Samuel Fernández Pérez</dc:creator>
</cp:coreProperties>
</file>